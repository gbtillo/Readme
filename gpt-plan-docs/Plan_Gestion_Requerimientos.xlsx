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5b0ce1f18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d84b5042f36d4e71"/>
    <x:sheet xmlns:r="http://schemas.openxmlformats.org/officeDocument/2006/relationships" name="Backlog" sheetId="2" r:id="R8893be24a1ff4ffd"/>
    <x:sheet xmlns:r="http://schemas.openxmlformats.org/officeDocument/2006/relationships" name="Plan Semanal" sheetId="3" r:id="R8c392faf8b3d479b"/>
    <x:sheet xmlns:r="http://schemas.openxmlformats.org/officeDocument/2006/relationships" name="Ejecución" sheetId="4" r:id="R331d6b6305844ed2"/>
    <x:sheet xmlns:r="http://schemas.openxmlformats.org/officeDocument/2006/relationships" name="Capacidad" sheetId="5" r:id="Rb87500b502264ea9"/>
    <x:sheet xmlns:r="http://schemas.openxmlformats.org/officeDocument/2006/relationships" name="Dashboard" sheetId="6" r:id="R4daee44c4f9b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3"/>
      <x:name val="Carlito"/>
    </x:font>
    <x:font>
      <x:b/>
      <x:sz val="11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201" fontId="6" fillId="0" borderId="0" xfId="0" applyNumberFormat="1" applyFont="1" applyFill="1" applyBorder="1" applyAlignment="1">
      <x:alignment horizontal="center"/>
    </x:xf>
    <x:xf numFmtId="201" fontId="6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88bd9979e4afb" /><Relationship Type="http://schemas.openxmlformats.org/officeDocument/2006/relationships/theme" Target="/xl/theme/theme1.xml" Id="R7e280a7b558f4525" /><Relationship Type="http://schemas.openxmlformats.org/officeDocument/2006/relationships/sharedStrings" Target="/xl/sharedStrings.xml" Id="Ra3e5c4cc323a4183" /><Relationship Type="http://schemas.openxmlformats.org/officeDocument/2006/relationships/worksheet" Target="/xl/worksheets/sheet1.xml" Id="Rd84b5042f36d4e71" /><Relationship Type="http://schemas.openxmlformats.org/officeDocument/2006/relationships/worksheet" Target="/xl/worksheets/sheet2.xml" Id="R8893be24a1ff4ffd" /><Relationship Type="http://schemas.openxmlformats.org/officeDocument/2006/relationships/worksheet" Target="/xl/worksheets/sheet3.xml" Id="R8c392faf8b3d479b" /><Relationship Type="http://schemas.openxmlformats.org/officeDocument/2006/relationships/worksheet" Target="/xl/worksheets/sheet4.xml" Id="R331d6b6305844ed2" /><Relationship Type="http://schemas.openxmlformats.org/officeDocument/2006/relationships/worksheet" Target="/xl/worksheets/sheet5.xml" Id="Rb87500b502264ea9" /><Relationship Type="http://schemas.openxmlformats.org/officeDocument/2006/relationships/worksheet" Target="/xl/worksheets/sheet6.xml" Id="R4daee44c4f9b49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d555aa05ba412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8657a657eb74971" /><Relationship Type="http://schemas.openxmlformats.org/officeDocument/2006/relationships/chart" Target="/xl/drawings/charts/chart3.xml" Id="R25431eecdce145da" /><Relationship Type="http://schemas.openxmlformats.org/officeDocument/2006/relationships/chart" Target="/xl/drawings/charts/chart4.xml" Id="R8a180096fcbd40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Capacidad semanal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Inicio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'Capacidad'!$B$4:$B$11</c:f>
              <c:numCache>
                <c:formatCode>dd/mm/yyyy</c:formatCode>
                <c:ptCount val="0"/>
              </c:numCache>
            </c:numRef>
          </c:val>
        </c:ser>
        <c:ser>
          <c:idx val="1"/>
          <c:order val="1"/>
          <c:tx>
            <c:v>Fin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'Capacidad'!$C$4:$C$11</c:f>
              <c:numCache>
                <c:formatCode>dd/mm/yyyy</c:formatCode>
                <c:ptCount val="0"/>
              </c:numCache>
            </c:numRef>
          </c:val>
        </c:ser>
        <c:ser>
          <c:idx val="2"/>
          <c:order val="2"/>
          <c:tx>
            <c:v>Capacidad total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'Capacidad'!$D$4:$D$11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Horas requerimientos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'Capacidad'!$E$4:$E$11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Horas otros proyectos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'Capacidad'!$F$4:$F$11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Reuniones + contingencia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'Capacidad'!$G$4:$G$11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Requerimientos por estado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'Dashboard'!$D$4:$D$15</c:f>
              <c:strCache>
                <c:ptCount val="0"/>
              </c:strCache>
            </c:strRef>
          </c:cat>
          <c:val>
            <c:numRef>
              <c:f>'Dashboard'!$E$4:$E$15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Requerimientos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'Dashboard'!$G$4:$G$7</c:f>
              <c:strCache>
                <c:ptCount val="0"/>
              </c:strCache>
            </c:strRef>
          </c:cat>
          <c:val>
            <c:numRef>
              <c:f>'Dashboard'!$H$4:$H$7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Capacidad vs requerimientos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Inicio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'Capacidad'!$B$4:$B$11</c:f>
              <c:numCache>
                <c:formatCode>dd/mm/yyyy</c:formatCode>
                <c:ptCount val="0"/>
              </c:numCache>
            </c:numRef>
          </c:val>
        </c:ser>
        <c:ser>
          <c:idx val="1"/>
          <c:order val="1"/>
          <c:tx>
            <c:v>Fin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'Capacidad'!$C$4:$C$11</c:f>
              <c:numCache>
                <c:formatCode>dd/mm/yyyy</c:formatCode>
                <c:ptCount val="0"/>
              </c:numCache>
            </c:numRef>
          </c:val>
        </c:ser>
        <c:ser>
          <c:idx val="2"/>
          <c:order val="2"/>
          <c:tx>
            <c:v>Capacidad total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'Capacidad'!$D$4:$D$11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Horas requerimientos</c:v>
          </c:tx>
          <c:cat>
            <c:strRef>
              <c:f>'Capacidad'!$A$4:$A$11</c:f>
              <c:strCache>
                <c:ptCount val="0"/>
              </c:strCache>
            </c:strRef>
          </c:cat>
          <c:val>
            <c:numRef>
              <c:f>'Capacidad'!$E$4:$E$11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d555aa05ba41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657a657eb7497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431eecdce145da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180096fcbd40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Q200" headerRowCount="1" totalsRowCount="0" totalsRowShown="0">
  <x:tableColumns count="17">
    <x:tableColumn id="1" name="ID"/>
    <x:tableColumn id="2" name="Requerimiento"/>
    <x:tableColumn id="3" name="Necesidad / Cambio"/>
    <x:tableColumn id="4" name="Prioridad"/>
    <x:tableColumn id="5" name="Complejidad"/>
    <x:tableColumn id="6" name="Estado"/>
    <x:tableColumn id="7" name="Responsable"/>
    <x:tableColumn id="8" name="Dependencia"/>
    <x:tableColumn id="9" name="Horas Est."/>
    <x:tableColumn id="10" name="Horas Restantes"/>
    <x:tableColumn id="11" name="Horas Ejecutadas"/>
    <x:tableColumn id="12" name="Fecha Inicio"/>
    <x:tableColumn id="13" name="Fecha Fin"/>
    <x:tableColumn id="14" name="Fecha Objetivo Prod."/>
    <x:tableColumn id="15" name="Riesgo"/>
    <x:tableColumn id="16" name="% Avance"/>
    <x:tableColumn id="17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SemanalTable" displayName="PlanSemanalTable" ref="A13:J53" headerRowCount="1" totalsRowCount="0" totalsRowShown="0">
  <x:tableColumns count="10">
    <x:tableColumn id="1" name="Fecha"/>
    <x:tableColumn id="2" name="Día"/>
    <x:tableColumn id="3" name="Semana"/>
    <x:tableColumn id="4" name="ID Req."/>
    <x:tableColumn id="5" name="Etapa"/>
    <x:tableColumn id="6" name="Actividad"/>
    <x:tableColumn id="7" name="Proyecto / otro"/>
    <x:tableColumn id="8" name="Horas"/>
    <x:tableColumn id="9" name="Responsable"/>
    <x:tableColumn id="10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jecucionTable" displayName="EjecucionTable" ref="A1:K100" headerRowCount="1" totalsRowCount="0" totalsRowShown="0">
  <x:tableColumns count="11">
    <x:tableColumn id="1" name="ID Req."/>
    <x:tableColumn id="2" name="Etapa"/>
    <x:tableColumn id="3" name="Actividad"/>
    <x:tableColumn id="4" name="Plan Inicio"/>
    <x:tableColumn id="5" name="Plan Fin"/>
    <x:tableColumn id="6" name="Horas Plan"/>
    <x:tableColumn id="7" name="Horas Ejecutadas"/>
    <x:tableColumn id="8" name="Estado"/>
    <x:tableColumn id="9" name="Evidencia / enlace"/>
    <x:tableColumn id="10" name="Bloqueo"/>
    <x:tableColumn id="11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cidadTable" displayName="CapacidadTable" ref="A3:H11" headerRowCount="1" totalsRowCount="0" totalsRowShown="0">
  <x:tableColumns count="8">
    <x:tableColumn id="1" name="Semana"/>
    <x:tableColumn id="2" name="Inicio"/>
    <x:tableColumn id="3" name="Fin"/>
    <x:tableColumn id="4" name="Capacidad total"/>
    <x:tableColumn id="5" name="Horas requerimientos"/>
    <x:tableColumn id="6" name="Horas otros proyectos"/>
    <x:tableColumn id="7" name="Reuniones + contingencia"/>
    <x:tableColumn id="8" name="Capacidad lib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608156cf66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e66383ab8b4d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4ba6c3ec5c45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51fe943911c4539" /><Relationship Type="http://schemas.openxmlformats.org/officeDocument/2006/relationships/table" Target="/xl/tables/table4.xml" Id="R70761eb2c57348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5e34e93952944cc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0" hidden="0" customWidth="1"/>
    <x:col min="5" max="5" width="42" hidden="0" customWidth="1"/>
    <x:col min="7" max="7" width="14" hidden="0" customWidth="1"/>
    <x:col min="8" max="8" width="24" hidden="0" customWidth="1"/>
  </x:cols>
  <x:sheetData>
    <x:row r="1">
      <x:c r="A1" s="5" t="str">
        <x:v>CONFIGURACIÓN DEL MODELO</x:v>
      </x:c>
    </x:row>
    <x:row r="3">
      <x:c r="A3" s="16" t="str">
        <x:v>Parámetro</x:v>
      </x:c>
      <x:c r="B3" s="16" t="str">
        <x:v>Valor</x:v>
      </x:c>
      <x:c r="C3" s="17"/>
      <x:c r="D3" s="16" t="str">
        <x:v>Prioridad</x:v>
      </x:c>
      <x:c r="E3" s="16" t="str">
        <x:v>Uso</x:v>
      </x:c>
      <x:c r="F3" s="17"/>
      <x:c r="G3" s="16" t="str">
        <x:v>Complejidad</x:v>
      </x:c>
      <x:c r="H3" s="16" t="str">
        <x:v>Esfuerzo orientativo</x:v>
      </x:c>
    </x:row>
    <x:row r="4">
      <x:c r="A4" s="17" t="str">
        <x:v>Fecha inicio del plan</x:v>
      </x:c>
      <x:c r="B4" s="18" t="n">
        <x:v>46293</x:v>
      </x:c>
      <x:c r="C4" s="17"/>
      <x:c r="D4" s="17" t="str">
        <x:v>P1 - Crítica</x:v>
      </x:c>
      <x:c r="E4" s="17" t="str">
        <x:v>Producción, seguridad, regulación o bloqueo</x:v>
      </x:c>
      <x:c r="F4" s="17"/>
      <x:c r="G4" s="17" t="str">
        <x:v>S</x:v>
      </x:c>
      <x:c r="H4" s="17" t="str">
        <x:v>1–8 h</x:v>
      </x:c>
    </x:row>
    <x:row r="5">
      <x:c r="A5" s="17" t="str">
        <x:v>Horas jornada diaria</x:v>
      </x:c>
      <x:c r="B5" s="17" t="n">
        <x:v>8</x:v>
      </x:c>
      <x:c r="C5" s="17"/>
      <x:c r="D5" s="17" t="str">
        <x:v>P2 - Alta</x:v>
      </x:c>
      <x:c r="E5" s="17" t="str">
        <x:v>Alto impacto de negocio</x:v>
      </x:c>
      <x:c r="F5" s="17"/>
      <x:c r="G5" s="17" t="str">
        <x:v>M</x:v>
      </x:c>
      <x:c r="H5" s="17" t="str">
        <x:v>9–24 h</x:v>
      </x:c>
    </x:row>
    <x:row r="6">
      <x:c r="A6" s="17" t="str">
        <x:v>Días laborables por semana</x:v>
      </x:c>
      <x:c r="B6" s="17" t="n">
        <x:v>5</x:v>
      </x:c>
      <x:c r="C6" s="17"/>
      <x:c r="D6" s="17" t="str">
        <x:v>P3 - Media</x:v>
      </x:c>
      <x:c r="E6" s="17" t="str">
        <x:v>Mejora importante</x:v>
      </x:c>
      <x:c r="F6" s="17"/>
      <x:c r="G6" s="17" t="str">
        <x:v>L</x:v>
      </x:c>
      <x:c r="H6" s="17" t="str">
        <x:v>25–50 h</x:v>
      </x:c>
    </x:row>
    <x:row r="7">
      <x:c r="A7" s="17" t="str">
        <x:v>% capacidad requerimientos</x:v>
      </x:c>
      <x:c r="B7" s="19" t="n">
        <x:v>0.5</x:v>
      </x:c>
      <x:c r="C7" s="17"/>
      <x:c r="D7" s="17" t="str">
        <x:v>P4 - Baja</x:v>
      </x:c>
      <x:c r="E7" s="17" t="str">
        <x:v>Mejora/conveniencia</x:v>
      </x:c>
      <x:c r="F7" s="17"/>
      <x:c r="G7" s="17" t="str">
        <x:v>XL</x:v>
      </x:c>
      <x:c r="H7" s="17" t="str">
        <x:v>&gt;50 h: dividir</x:v>
      </x:c>
    </x:row>
    <x:row r="8">
      <x:c r="A8" s="17" t="str">
        <x:v>% capacidad otros proyectos</x:v>
      </x:c>
      <x:c r="B8" s="19" t="n">
        <x:v>0.3</x:v>
      </x:c>
      <x:c r="C8" s="17"/>
      <x:c r="D8" s="17" t="str">
        <x:v>Bloqueado</x:v>
      </x:c>
      <x:c r="E8" s="17" t="str">
        <x:v>Información, dependencia o aprobación pendiente</x:v>
      </x:c>
      <x:c r="F8" s="17"/>
      <x:c r="G8" s="17" t="str">
        <x:v>N/A</x:v>
      </x:c>
      <x:c r="H8" s="17" t="str">
        <x:v>Pendiente de estimación</x:v>
      </x:c>
    </x:row>
    <x:row r="9">
      <x:c r="A9" s="17" t="str">
        <x:v>% reuniones/coordinación</x:v>
      </x:c>
      <x:c r="B9" s="19" t="n">
        <x:v>0.1</x:v>
      </x:c>
      <x:c r="C9" s="17"/>
      <x:c r="D9" s="17"/>
      <x:c r="E9" s="17"/>
      <x:c r="F9" s="17"/>
      <x:c r="G9" s="17"/>
      <x:c r="H9" s="17"/>
    </x:row>
    <x:row r="10">
      <x:c r="A10" s="17" t="str">
        <x:v>% contingencia/bloqueos</x:v>
      </x:c>
      <x:c r="B10" s="19" t="n">
        <x:v>0.1</x:v>
      </x:c>
      <x:c r="C10" s="17"/>
      <x:c r="D10" s="17"/>
      <x:c r="E10" s="17"/>
      <x:c r="F10" s="17"/>
      <x:c r="G10" s="17"/>
      <x:c r="H10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6" hidden="0" customWidth="1"/>
    <x:col min="5" max="5" width="13" hidden="0" customWidth="1"/>
    <x:col min="6" max="6" width="20" hidden="0" customWidth="1"/>
    <x:col min="7" max="7" width="14" hidden="0" customWidth="1"/>
    <x:col min="8" max="8" width="18" hidden="0" customWidth="1"/>
    <x:col min="9" max="9" width="12" hidden="0" customWidth="1"/>
    <x:col min="10" max="10" width="14" hidden="0" customWidth="1"/>
    <x:col min="11" max="11" width="16" hidden="0" customWidth="1"/>
    <x:col min="12" max="12" width="13" hidden="0" customWidth="1"/>
    <x:col min="13" max="13" width="13" hidden="0" customWidth="1"/>
    <x:col min="14" max="14" width="16" hidden="0" customWidth="1"/>
    <x:col min="15" max="15" width="12" hidden="0" customWidth="1"/>
    <x:col min="16" max="16" width="11" hidden="0" customWidth="1"/>
    <x:col min="17" max="17" width="30" hidden="0" customWidth="1"/>
  </x:cols>
  <x:sheetData>
    <x:row r="1">
      <x:c r="A1" s="24" t="str">
        <x:v>ID</x:v>
      </x:c>
      <x:c r="B1" s="24" t="str">
        <x:v>Requerimiento</x:v>
      </x:c>
      <x:c r="C1" s="24" t="str">
        <x:v>Necesidad / Cambio</x:v>
      </x:c>
      <x:c r="D1" s="24" t="str">
        <x:v>Prioridad</x:v>
      </x:c>
      <x:c r="E1" s="24" t="str">
        <x:v>Complejidad</x:v>
      </x:c>
      <x:c r="F1" s="24" t="str">
        <x:v>Estado</x:v>
      </x:c>
      <x:c r="G1" s="24" t="str">
        <x:v>Responsable</x:v>
      </x:c>
      <x:c r="H1" s="24" t="str">
        <x:v>Dependencia</x:v>
      </x:c>
      <x:c r="I1" s="24" t="str">
        <x:v>Horas Est.</x:v>
      </x:c>
      <x:c r="J1" s="24" t="str">
        <x:v>Horas Restantes</x:v>
      </x:c>
      <x:c r="K1" s="24" t="str">
        <x:v>Horas Ejecutadas</x:v>
      </x:c>
      <x:c r="L1" s="24" t="str">
        <x:v>Fecha Inicio</x:v>
      </x:c>
      <x:c r="M1" s="24" t="str">
        <x:v>Fecha Fin</x:v>
      </x:c>
      <x:c r="N1" s="24" t="str">
        <x:v>Fecha Objetivo Prod.</x:v>
      </x:c>
      <x:c r="O1" s="24" t="str">
        <x:v>Riesgo</x:v>
      </x:c>
      <x:c r="P1" s="24" t="str">
        <x:v>% Avance</x:v>
      </x:c>
      <x:c r="Q1" s="24" t="str">
        <x:v>Observaciones</x:v>
      </x:c>
    </x:row>
    <x:row r="2">
      <x:c r="A2" s="17" t="str">
        <x:v>RQ-001</x:v>
      </x:c>
      <x:c r="B2" s="17" t="str">
        <x:v>Ajuste de autenticación</x:v>
      </x:c>
      <x:c r="C2" s="17" t="str">
        <x:v>Actualizar validación de acceso</x:v>
      </x:c>
      <x:c r="D2" s="17" t="str">
        <x:v>P1 - Crítica</x:v>
      </x:c>
      <x:c r="E2" s="17" t="str">
        <x:v>M</x:v>
      </x:c>
      <x:c r="F2" s="17" t="str">
        <x:v>DEF</x:v>
      </x:c>
      <x:c r="G2" s="17" t="str">
        <x:v>Dev 1</x:v>
      </x:c>
      <x:c r="H2" s="17" t="str">
        <x:v>Seguridad</x:v>
      </x:c>
      <x:c r="I2" s="17" t="n">
        <x:v>16</x:v>
      </x:c>
      <x:c r="J2" s="17" t="n">
        <x:f>MAX(0,I2-K2)</x:f>
        <x:v>14</x:v>
      </x:c>
      <x:c r="K2" s="17" t="n">
        <x:v>2</x:v>
      </x:c>
      <x:c r="L2" s="18" t="n">
        <x:v>46293</x:v>
      </x:c>
      <x:c r="M2" s="18" t="n">
        <x:v>46297</x:v>
      </x:c>
      <x:c r="N2" s="18" t="n">
        <x:v>46301</x:v>
      </x:c>
      <x:c r="O2" s="17" t="str">
        <x:v>Medio</x:v>
      </x:c>
      <x:c r="P2" s="19" t="n">
        <x:v>0.25</x:v>
      </x:c>
      <x:c r="Q2" s="17" t="str"/>
    </x:row>
    <x:row r="3">
      <x:c r="A3" s="17" t="str">
        <x:v>RQ-002</x:v>
      </x:c>
      <x:c r="B3" s="17" t="str">
        <x:v>Nuevo reporte operativo</x:v>
      </x:c>
      <x:c r="C3" s="17" t="str">
        <x:v>Necesidad de consulta de negocio</x:v>
      </x:c>
      <x:c r="D3" s="17" t="str">
        <x:v>P2 - Alta</x:v>
      </x:c>
      <x:c r="E3" s="17" t="str">
        <x:v>S</x:v>
      </x:c>
      <x:c r="F3" s="17" t="str">
        <x:v>Historias</x:v>
      </x:c>
      <x:c r="G3" s="17" t="str">
        <x:v>Dev 2</x:v>
      </x:c>
      <x:c r="H3" s="17" t="str">
        <x:v>Ninguna</x:v>
      </x:c>
      <x:c r="I3" s="17" t="n">
        <x:v>8</x:v>
      </x:c>
      <x:c r="J3" s="17" t="n">
        <x:f>MAX(0,I3-K3)</x:f>
        <x:v>6</x:v>
      </x:c>
      <x:c r="K3" s="17" t="n">
        <x:v>2</x:v>
      </x:c>
      <x:c r="L3" s="18" t="n">
        <x:v>46294</x:v>
      </x:c>
      <x:c r="M3" s="18" t="n">
        <x:v>46296</x:v>
      </x:c>
      <x:c r="N3" s="18" t="n">
        <x:v>46300</x:v>
      </x:c>
      <x:c r="O3" s="17" t="str">
        <x:v>Bajo</x:v>
      </x:c>
      <x:c r="P3" s="19" t="n">
        <x:v>0.5</x:v>
      </x:c>
      <x:c r="Q3" s="17" t="str"/>
    </x:row>
    <x:row r="4">
      <x:c r="A4" s="17" t="str">
        <x:v>RQ-003</x:v>
      </x:c>
      <x:c r="B4" s="17" t="str">
        <x:v>Cambio de proceso de aprobación</x:v>
      </x:c>
      <x:c r="C4" s="17" t="str">
        <x:v>Rediseñar flujo de aprobación</x:v>
      </x:c>
      <x:c r="D4" s="17" t="str">
        <x:v>P2 - Alta</x:v>
      </x:c>
      <x:c r="E4" s="17" t="str">
        <x:v>L</x:v>
      </x:c>
      <x:c r="F4" s="17" t="str">
        <x:v>Desarrollo</x:v>
      </x:c>
      <x:c r="G4" s="17" t="str">
        <x:v>Dev 1</x:v>
      </x:c>
      <x:c r="H4" s="17" t="str">
        <x:v>Negocio</x:v>
      </x:c>
      <x:c r="I4" s="17" t="n">
        <x:v>36</x:v>
      </x:c>
      <x:c r="J4" s="17" t="n">
        <x:f>MAX(0,I4-K4)</x:f>
        <x:v>26</x:v>
      </x:c>
      <x:c r="K4" s="17" t="n">
        <x:v>10</x:v>
      </x:c>
      <x:c r="L4" s="18" t="n">
        <x:v>46295</x:v>
      </x:c>
      <x:c r="M4" s="18" t="n">
        <x:v>46304</x:v>
      </x:c>
      <x:c r="N4" s="18" t="n">
        <x:v>46308</x:v>
      </x:c>
      <x:c r="O4" s="17" t="str">
        <x:v>Alto</x:v>
      </x:c>
      <x:c r="P4" s="19" t="n">
        <x:v>0.4</x:v>
      </x:c>
      <x:c r="Q4" s="17" t="str">
        <x:v>Dependencia con PO</x:v>
      </x:c>
    </x:row>
    <x:row r="5">
      <x:c r="A5" s="17" t="str">
        <x:v>RQ-004</x:v>
      </x:c>
      <x:c r="B5" s="17" t="str">
        <x:v>Optimización de pantalla</x:v>
      </x:c>
      <x:c r="C5" s="17" t="str">
        <x:v>Mejorar tiempos de carga</x:v>
      </x:c>
      <x:c r="D5" s="17" t="str">
        <x:v>P3 - Media</x:v>
      </x:c>
      <x:c r="E5" s="17" t="str">
        <x:v>M</x:v>
      </x:c>
      <x:c r="F5" s="17" t="str">
        <x:v>Pendiente</x:v>
      </x:c>
      <x:c r="G5" s="17" t="str">
        <x:v>Dev 3</x:v>
      </x:c>
      <x:c r="H5" s="17" t="str">
        <x:v>Ninguna</x:v>
      </x:c>
      <x:c r="I5" s="17" t="n">
        <x:v>12</x:v>
      </x:c>
      <x:c r="J5" s="17" t="n">
        <x:f>MAX(0,I5-K5)</x:f>
        <x:v>12</x:v>
      </x:c>
      <x:c r="K5" s="17" t="n">
        <x:v>0</x:v>
      </x:c>
      <x:c r="L5" s="18"/>
      <x:c r="M5" s="18"/>
      <x:c r="N5" s="18"/>
      <x:c r="O5" s="17" t="str">
        <x:v>Bajo</x:v>
      </x:c>
      <x:c r="P5" s="19" t="n">
        <x:v>0</x:v>
      </x:c>
      <x:c r="Q5" s="17" t="str"/>
    </x:row>
    <x:row r="6">
      <x:c r="A6" s="17" t="str">
        <x:v>RQ-005</x:v>
      </x:c>
      <x:c r="B6" s="17" t="str">
        <x:v>Nueva funcionalidad de notificaciones</x:v>
      </x:c>
      <x:c r="C6" s="17" t="str">
        <x:v>Alertas para usuarios</x:v>
      </x:c>
      <x:c r="D6" s="17" t="str">
        <x:v>P3 - Media</x:v>
      </x:c>
      <x:c r="E6" s="17" t="str">
        <x:v>L</x:v>
      </x:c>
      <x:c r="F6" s="17" t="str">
        <x:v>Pendiente</x:v>
      </x:c>
      <x:c r="G6" s="17" t="str">
        <x:v>Dev 2</x:v>
      </x:c>
      <x:c r="H6" s="17" t="str">
        <x:v>Arquitectura</x:v>
      </x:c>
      <x:c r="I6" s="17" t="n">
        <x:v>28</x:v>
      </x:c>
      <x:c r="J6" s="17" t="n">
        <x:f>MAX(0,I6-K6)</x:f>
        <x:v>28</x:v>
      </x:c>
      <x:c r="K6" s="17" t="n">
        <x:v>0</x:v>
      </x:c>
      <x:c r="L6" s="18"/>
      <x:c r="M6" s="18"/>
      <x:c r="N6" s="18"/>
      <x:c r="O6" s="17" t="str">
        <x:v>Medio</x:v>
      </x:c>
      <x:c r="P6" s="19" t="n">
        <x:v>0</x:v>
      </x:c>
      <x:c r="Q6" s="17" t="str">
        <x:v>Dividir antes de planificar</x:v>
      </x:c>
    </x:row>
    <x:row r="7">
      <x:c r="A7" s="17" t="str">
        <x:v>RQ-006</x:v>
      </x:c>
      <x:c r="B7" s="17" t="str">
        <x:v>Corrección incidente productivo</x:v>
      </x:c>
      <x:c r="C7" s="17" t="str">
        <x:v>Error de cálculo puntual</x:v>
      </x:c>
      <x:c r="D7" s="17" t="str">
        <x:v>P1 - Crítica</x:v>
      </x:c>
      <x:c r="E7" s="17" t="str">
        <x:v>S</x:v>
      </x:c>
      <x:c r="F7" s="17" t="str">
        <x:v>Producción</x:v>
      </x:c>
      <x:c r="G7" s="17" t="str">
        <x:v>Dev 1</x:v>
      </x:c>
      <x:c r="H7" s="17" t="str">
        <x:v>Ninguna</x:v>
      </x:c>
      <x:c r="I7" s="17" t="n">
        <x:v>6</x:v>
      </x:c>
      <x:c r="J7" s="17" t="n">
        <x:f>MAX(0,I7-K7)</x:f>
        <x:v>0</x:v>
      </x:c>
      <x:c r="K7" s="17" t="n">
        <x:v>6</x:v>
      </x:c>
      <x:c r="L7" s="18" t="n">
        <x:v>46293</x:v>
      </x:c>
      <x:c r="M7" s="18" t="n">
        <x:v>46293</x:v>
      </x:c>
      <x:c r="N7" s="18" t="n">
        <x:v>46293</x:v>
      </x:c>
      <x:c r="O7" s="17" t="str">
        <x:v>Alto</x:v>
      </x:c>
      <x:c r="P7" s="19" t="n">
        <x:v>1</x:v>
      </x:c>
      <x:c r="Q7" s="17" t="str">
        <x:v>Ejemplo de cierre</x:v>
      </x:c>
    </x:row>
    <x:row r="8">
      <x:c r="A8" s="17" t="str">
        <x:v>RQ-007</x:v>
      </x:c>
      <x:c r="B8" s="17" t="str">
        <x:v>Ajuste de reglas de negocio</x:v>
      </x:c>
      <x:c r="C8" s="17" t="str">
        <x:v>Cambio solicitado por operación</x:v>
      </x:c>
      <x:c r="D8" s="17" t="str">
        <x:v>P2 - Alta</x:v>
      </x:c>
      <x:c r="E8" s="17" t="str">
        <x:v>M</x:v>
      </x:c>
      <x:c r="F8" s="17" t="str">
        <x:v>Pruebas</x:v>
      </x:c>
      <x:c r="G8" s="17" t="str">
        <x:v>Dev 3</x:v>
      </x:c>
      <x:c r="H8" s="17" t="str">
        <x:v>PO</x:v>
      </x:c>
      <x:c r="I8" s="17" t="n">
        <x:v>18</x:v>
      </x:c>
      <x:c r="J8" s="17" t="n">
        <x:f>MAX(0,I8-K8)</x:f>
        <x:v>10</x:v>
      </x:c>
      <x:c r="K8" s="17" t="n">
        <x:v>8</x:v>
      </x:c>
      <x:c r="L8" s="18" t="n">
        <x:v>46295</x:v>
      </x:c>
      <x:c r="M8" s="18" t="n">
        <x:v>46300</x:v>
      </x:c>
      <x:c r="N8" s="18" t="n">
        <x:v>46302</x:v>
      </x:c>
      <x:c r="O8" s="17" t="str">
        <x:v>Medio</x:v>
      </x:c>
      <x:c r="P8" s="19" t="n">
        <x:v>0.75</x:v>
      </x:c>
      <x:c r="Q8" s="17" t="str"/>
    </x:row>
    <x:row r="9">
      <x:c r="A9" s="17" t="str">
        <x:v>RQ-008</x:v>
      </x:c>
      <x:c r="B9" s="17" t="str">
        <x:v>Mejora de auditoría</x:v>
      </x:c>
      <x:c r="C9" s="17" t="str">
        <x:v>Agregar trazabilidad de cambios</x:v>
      </x:c>
      <x:c r="D9" s="17" t="str">
        <x:v>P3 - Media</x:v>
      </x:c>
      <x:c r="E9" s="17" t="str">
        <x:v>S</x:v>
      </x:c>
      <x:c r="F9" s="17" t="str">
        <x:v>Validación</x:v>
      </x:c>
      <x:c r="G9" s="17" t="str">
        <x:v>Dev 2</x:v>
      </x:c>
      <x:c r="H9" s="17" t="str">
        <x:v>Seguridad</x:v>
      </x:c>
      <x:c r="I9" s="17" t="n">
        <x:v>7</x:v>
      </x:c>
      <x:c r="J9" s="17" t="n">
        <x:f>MAX(0,I9-K9)</x:f>
        <x:v>2</x:v>
      </x:c>
      <x:c r="K9" s="17" t="n">
        <x:v>5</x:v>
      </x:c>
      <x:c r="L9" s="18" t="n">
        <x:v>46294</x:v>
      </x:c>
      <x:c r="M9" s="18" t="n">
        <x:v>46297</x:v>
      </x:c>
      <x:c r="N9" s="18" t="n">
        <x:v>46301</x:v>
      </x:c>
      <x:c r="O9" s="17" t="str">
        <x:v>Bajo</x:v>
      </x:c>
      <x:c r="P9" s="19" t="n">
        <x:v>0.85</x:v>
      </x:c>
      <x:c r="Q9" s="17" t="str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8"/>
      <x:c r="M10" s="18"/>
      <x:c r="N10" s="18"/>
      <x:c r="O10" s="17"/>
      <x:c r="P10" s="19"/>
      <x:c r="Q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8"/>
      <x:c r="M11" s="18"/>
      <x:c r="N11" s="18"/>
      <x:c r="O11" s="17"/>
      <x:c r="P11" s="19"/>
      <x:c r="Q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8"/>
      <x:c r="M12" s="18"/>
      <x:c r="N12" s="18"/>
      <x:c r="O12" s="17"/>
      <x:c r="P12" s="19"/>
      <x:c r="Q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8"/>
      <x:c r="M13" s="18"/>
      <x:c r="N13" s="18"/>
      <x:c r="O13" s="17"/>
      <x:c r="P13" s="19"/>
      <x:c r="Q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8"/>
      <x:c r="M14" s="18"/>
      <x:c r="N14" s="18"/>
      <x:c r="O14" s="17"/>
      <x:c r="P14" s="19"/>
      <x:c r="Q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8"/>
      <x:c r="M15" s="18"/>
      <x:c r="N15" s="18"/>
      <x:c r="O15" s="17"/>
      <x:c r="P15" s="19"/>
      <x:c r="Q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8"/>
      <x:c r="M16" s="18"/>
      <x:c r="N16" s="18"/>
      <x:c r="O16" s="17"/>
      <x:c r="P16" s="19"/>
      <x:c r="Q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8"/>
      <x:c r="M17" s="18"/>
      <x:c r="N17" s="18"/>
      <x:c r="O17" s="17"/>
      <x:c r="P17" s="19"/>
      <x:c r="Q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8"/>
      <x:c r="M18" s="18"/>
      <x:c r="N18" s="18"/>
      <x:c r="O18" s="17"/>
      <x:c r="P18" s="19"/>
      <x:c r="Q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8"/>
      <x:c r="M19" s="18"/>
      <x:c r="N19" s="18"/>
      <x:c r="O19" s="17"/>
      <x:c r="P19" s="19"/>
      <x:c r="Q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8"/>
      <x:c r="M20" s="18"/>
      <x:c r="N20" s="18"/>
      <x:c r="O20" s="17"/>
      <x:c r="P20" s="19"/>
      <x:c r="Q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8"/>
      <x:c r="M21" s="18"/>
      <x:c r="N21" s="18"/>
      <x:c r="O21" s="17"/>
      <x:c r="P21" s="19"/>
      <x:c r="Q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8"/>
      <x:c r="M22" s="18"/>
      <x:c r="N22" s="18"/>
      <x:c r="O22" s="17"/>
      <x:c r="P22" s="19"/>
      <x:c r="Q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8"/>
      <x:c r="M23" s="18"/>
      <x:c r="N23" s="18"/>
      <x:c r="O23" s="17"/>
      <x:c r="P23" s="19"/>
      <x:c r="Q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8"/>
      <x:c r="M24" s="18"/>
      <x:c r="N24" s="18"/>
      <x:c r="O24" s="17"/>
      <x:c r="P24" s="19"/>
      <x:c r="Q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8"/>
      <x:c r="M25" s="18"/>
      <x:c r="N25" s="18"/>
      <x:c r="O25" s="17"/>
      <x:c r="P25" s="19"/>
      <x:c r="Q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8"/>
      <x:c r="M26" s="18"/>
      <x:c r="N26" s="18"/>
      <x:c r="O26" s="17"/>
      <x:c r="P26" s="19"/>
      <x:c r="Q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8"/>
      <x:c r="M27" s="18"/>
      <x:c r="N27" s="18"/>
      <x:c r="O27" s="17"/>
      <x:c r="P27" s="19"/>
      <x:c r="Q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8"/>
      <x:c r="M28" s="18"/>
      <x:c r="N28" s="18"/>
      <x:c r="O28" s="17"/>
      <x:c r="P28" s="19"/>
      <x:c r="Q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8"/>
      <x:c r="M29" s="18"/>
      <x:c r="N29" s="18"/>
      <x:c r="O29" s="17"/>
      <x:c r="P29" s="19"/>
      <x:c r="Q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8"/>
      <x:c r="M30" s="18"/>
      <x:c r="N30" s="18"/>
      <x:c r="O30" s="17"/>
      <x:c r="P30" s="19"/>
      <x:c r="Q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8"/>
      <x:c r="M31" s="18"/>
      <x:c r="N31" s="18"/>
      <x:c r="O31" s="17"/>
      <x:c r="P31" s="19"/>
      <x:c r="Q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8"/>
      <x:c r="M32" s="18"/>
      <x:c r="N32" s="18"/>
      <x:c r="O32" s="17"/>
      <x:c r="P32" s="19"/>
      <x:c r="Q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8"/>
      <x:c r="M33" s="18"/>
      <x:c r="N33" s="18"/>
      <x:c r="O33" s="17"/>
      <x:c r="P33" s="19"/>
      <x:c r="Q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8"/>
      <x:c r="M34" s="18"/>
      <x:c r="N34" s="18"/>
      <x:c r="O34" s="17"/>
      <x:c r="P34" s="19"/>
      <x:c r="Q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8"/>
      <x:c r="M35" s="18"/>
      <x:c r="N35" s="18"/>
      <x:c r="O35" s="17"/>
      <x:c r="P35" s="19"/>
      <x:c r="Q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8"/>
      <x:c r="M36" s="18"/>
      <x:c r="N36" s="18"/>
      <x:c r="O36" s="17"/>
      <x:c r="P36" s="19"/>
      <x:c r="Q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8"/>
      <x:c r="M37" s="18"/>
      <x:c r="N37" s="18"/>
      <x:c r="O37" s="17"/>
      <x:c r="P37" s="19"/>
      <x:c r="Q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8"/>
      <x:c r="M38" s="18"/>
      <x:c r="N38" s="18"/>
      <x:c r="O38" s="17"/>
      <x:c r="P38" s="19"/>
      <x:c r="Q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8"/>
      <x:c r="M39" s="18"/>
      <x:c r="N39" s="18"/>
      <x:c r="O39" s="17"/>
      <x:c r="P39" s="19"/>
      <x:c r="Q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8"/>
      <x:c r="M40" s="18"/>
      <x:c r="N40" s="18"/>
      <x:c r="O40" s="17"/>
      <x:c r="P40" s="19"/>
      <x:c r="Q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8"/>
      <x:c r="M41" s="18"/>
      <x:c r="N41" s="18"/>
      <x:c r="O41" s="17"/>
      <x:c r="P41" s="19"/>
      <x:c r="Q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8"/>
      <x:c r="M42" s="18"/>
      <x:c r="N42" s="18"/>
      <x:c r="O42" s="17"/>
      <x:c r="P42" s="19"/>
      <x:c r="Q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8"/>
      <x:c r="M43" s="18"/>
      <x:c r="N43" s="18"/>
      <x:c r="O43" s="17"/>
      <x:c r="P43" s="19"/>
      <x:c r="Q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8"/>
      <x:c r="M44" s="18"/>
      <x:c r="N44" s="18"/>
      <x:c r="O44" s="17"/>
      <x:c r="P44" s="19"/>
      <x:c r="Q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8"/>
      <x:c r="M45" s="18"/>
      <x:c r="N45" s="18"/>
      <x:c r="O45" s="17"/>
      <x:c r="P45" s="19"/>
      <x:c r="Q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8"/>
      <x:c r="M46" s="18"/>
      <x:c r="N46" s="18"/>
      <x:c r="O46" s="17"/>
      <x:c r="P46" s="19"/>
      <x:c r="Q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8"/>
      <x:c r="M47" s="18"/>
      <x:c r="N47" s="18"/>
      <x:c r="O47" s="17"/>
      <x:c r="P47" s="19"/>
      <x:c r="Q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8"/>
      <x:c r="M48" s="18"/>
      <x:c r="N48" s="18"/>
      <x:c r="O48" s="17"/>
      <x:c r="P48" s="19"/>
      <x:c r="Q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8"/>
      <x:c r="M49" s="18"/>
      <x:c r="N49" s="18"/>
      <x:c r="O49" s="17"/>
      <x:c r="P49" s="19"/>
      <x:c r="Q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8"/>
      <x:c r="M50" s="18"/>
      <x:c r="N50" s="18"/>
      <x:c r="O50" s="17"/>
      <x:c r="P50" s="19"/>
      <x:c r="Q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8"/>
      <x:c r="M51" s="18"/>
      <x:c r="N51" s="18"/>
      <x:c r="O51" s="17"/>
      <x:c r="P51" s="19"/>
      <x:c r="Q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8"/>
      <x:c r="M52" s="18"/>
      <x:c r="N52" s="18"/>
      <x:c r="O52" s="17"/>
      <x:c r="P52" s="19"/>
      <x:c r="Q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8"/>
      <x:c r="M53" s="18"/>
      <x:c r="N53" s="18"/>
      <x:c r="O53" s="17"/>
      <x:c r="P53" s="19"/>
      <x:c r="Q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8"/>
      <x:c r="M54" s="18"/>
      <x:c r="N54" s="18"/>
      <x:c r="O54" s="17"/>
      <x:c r="P54" s="19"/>
      <x:c r="Q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8"/>
      <x:c r="M55" s="18"/>
      <x:c r="N55" s="18"/>
      <x:c r="O55" s="17"/>
      <x:c r="P55" s="19"/>
      <x:c r="Q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8"/>
      <x:c r="M56" s="18"/>
      <x:c r="N56" s="18"/>
      <x:c r="O56" s="17"/>
      <x:c r="P56" s="19"/>
      <x:c r="Q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8"/>
      <x:c r="M57" s="18"/>
      <x:c r="N57" s="18"/>
      <x:c r="O57" s="17"/>
      <x:c r="P57" s="19"/>
      <x:c r="Q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8"/>
      <x:c r="M58" s="18"/>
      <x:c r="N58" s="18"/>
      <x:c r="O58" s="17"/>
      <x:c r="P58" s="19"/>
      <x:c r="Q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8"/>
      <x:c r="M59" s="18"/>
      <x:c r="N59" s="18"/>
      <x:c r="O59" s="17"/>
      <x:c r="P59" s="19"/>
      <x:c r="Q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8"/>
      <x:c r="M60" s="18"/>
      <x:c r="N60" s="18"/>
      <x:c r="O60" s="17"/>
      <x:c r="P60" s="19"/>
      <x:c r="Q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8"/>
      <x:c r="M61" s="18"/>
      <x:c r="N61" s="18"/>
      <x:c r="O61" s="17"/>
      <x:c r="P61" s="19"/>
      <x:c r="Q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8"/>
      <x:c r="M62" s="18"/>
      <x:c r="N62" s="18"/>
      <x:c r="O62" s="17"/>
      <x:c r="P62" s="19"/>
      <x:c r="Q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8"/>
      <x:c r="M63" s="18"/>
      <x:c r="N63" s="18"/>
      <x:c r="O63" s="17"/>
      <x:c r="P63" s="19"/>
      <x:c r="Q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8"/>
      <x:c r="M64" s="18"/>
      <x:c r="N64" s="18"/>
      <x:c r="O64" s="17"/>
      <x:c r="P64" s="19"/>
      <x:c r="Q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8"/>
      <x:c r="M65" s="18"/>
      <x:c r="N65" s="18"/>
      <x:c r="O65" s="17"/>
      <x:c r="P65" s="19"/>
      <x:c r="Q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8"/>
      <x:c r="M66" s="18"/>
      <x:c r="N66" s="18"/>
      <x:c r="O66" s="17"/>
      <x:c r="P66" s="19"/>
      <x:c r="Q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8"/>
      <x:c r="M67" s="18"/>
      <x:c r="N67" s="18"/>
      <x:c r="O67" s="17"/>
      <x:c r="P67" s="19"/>
      <x:c r="Q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8"/>
      <x:c r="M68" s="18"/>
      <x:c r="N68" s="18"/>
      <x:c r="O68" s="17"/>
      <x:c r="P68" s="19"/>
      <x:c r="Q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8"/>
      <x:c r="M69" s="18"/>
      <x:c r="N69" s="18"/>
      <x:c r="O69" s="17"/>
      <x:c r="P69" s="19"/>
      <x:c r="Q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8"/>
      <x:c r="M70" s="18"/>
      <x:c r="N70" s="18"/>
      <x:c r="O70" s="17"/>
      <x:c r="P70" s="19"/>
      <x:c r="Q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8"/>
      <x:c r="M71" s="18"/>
      <x:c r="N71" s="18"/>
      <x:c r="O71" s="17"/>
      <x:c r="P71" s="19"/>
      <x:c r="Q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8"/>
      <x:c r="M72" s="18"/>
      <x:c r="N72" s="18"/>
      <x:c r="O72" s="17"/>
      <x:c r="P72" s="19"/>
      <x:c r="Q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8"/>
      <x:c r="M73" s="18"/>
      <x:c r="N73" s="18"/>
      <x:c r="O73" s="17"/>
      <x:c r="P73" s="19"/>
      <x:c r="Q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8"/>
      <x:c r="M74" s="18"/>
      <x:c r="N74" s="18"/>
      <x:c r="O74" s="17"/>
      <x:c r="P74" s="19"/>
      <x:c r="Q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8"/>
      <x:c r="M75" s="18"/>
      <x:c r="N75" s="18"/>
      <x:c r="O75" s="17"/>
      <x:c r="P75" s="19"/>
      <x:c r="Q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8"/>
      <x:c r="M76" s="18"/>
      <x:c r="N76" s="18"/>
      <x:c r="O76" s="17"/>
      <x:c r="P76" s="19"/>
      <x:c r="Q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8"/>
      <x:c r="M77" s="18"/>
      <x:c r="N77" s="18"/>
      <x:c r="O77" s="17"/>
      <x:c r="P77" s="19"/>
      <x:c r="Q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8"/>
      <x:c r="M78" s="18"/>
      <x:c r="N78" s="18"/>
      <x:c r="O78" s="17"/>
      <x:c r="P78" s="19"/>
      <x:c r="Q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8"/>
      <x:c r="M79" s="18"/>
      <x:c r="N79" s="18"/>
      <x:c r="O79" s="17"/>
      <x:c r="P79" s="19"/>
      <x:c r="Q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8"/>
      <x:c r="M80" s="18"/>
      <x:c r="N80" s="18"/>
      <x:c r="O80" s="17"/>
      <x:c r="P80" s="19"/>
      <x:c r="Q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8"/>
      <x:c r="M81" s="18"/>
      <x:c r="N81" s="18"/>
      <x:c r="O81" s="17"/>
      <x:c r="P81" s="19"/>
      <x:c r="Q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8"/>
      <x:c r="M82" s="18"/>
      <x:c r="N82" s="18"/>
      <x:c r="O82" s="17"/>
      <x:c r="P82" s="19"/>
      <x:c r="Q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8"/>
      <x:c r="M83" s="18"/>
      <x:c r="N83" s="18"/>
      <x:c r="O83" s="17"/>
      <x:c r="P83" s="19"/>
      <x:c r="Q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8"/>
      <x:c r="M84" s="18"/>
      <x:c r="N84" s="18"/>
      <x:c r="O84" s="17"/>
      <x:c r="P84" s="19"/>
      <x:c r="Q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8"/>
      <x:c r="M85" s="18"/>
      <x:c r="N85" s="18"/>
      <x:c r="O85" s="17"/>
      <x:c r="P85" s="19"/>
      <x:c r="Q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8"/>
      <x:c r="M86" s="18"/>
      <x:c r="N86" s="18"/>
      <x:c r="O86" s="17"/>
      <x:c r="P86" s="19"/>
      <x:c r="Q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8"/>
      <x:c r="M87" s="18"/>
      <x:c r="N87" s="18"/>
      <x:c r="O87" s="17"/>
      <x:c r="P87" s="19"/>
      <x:c r="Q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8"/>
      <x:c r="M88" s="18"/>
      <x:c r="N88" s="18"/>
      <x:c r="O88" s="17"/>
      <x:c r="P88" s="19"/>
      <x:c r="Q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8"/>
      <x:c r="M89" s="18"/>
      <x:c r="N89" s="18"/>
      <x:c r="O89" s="17"/>
      <x:c r="P89" s="19"/>
      <x:c r="Q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8"/>
      <x:c r="M90" s="18"/>
      <x:c r="N90" s="18"/>
      <x:c r="O90" s="17"/>
      <x:c r="P90" s="19"/>
      <x:c r="Q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8"/>
      <x:c r="M91" s="18"/>
      <x:c r="N91" s="18"/>
      <x:c r="O91" s="17"/>
      <x:c r="P91" s="19"/>
      <x:c r="Q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8"/>
      <x:c r="M92" s="18"/>
      <x:c r="N92" s="18"/>
      <x:c r="O92" s="17"/>
      <x:c r="P92" s="19"/>
      <x:c r="Q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8"/>
      <x:c r="M93" s="18"/>
      <x:c r="N93" s="18"/>
      <x:c r="O93" s="17"/>
      <x:c r="P93" s="19"/>
      <x:c r="Q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8"/>
      <x:c r="M94" s="18"/>
      <x:c r="N94" s="18"/>
      <x:c r="O94" s="17"/>
      <x:c r="P94" s="19"/>
      <x:c r="Q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8"/>
      <x:c r="M95" s="18"/>
      <x:c r="N95" s="18"/>
      <x:c r="O95" s="17"/>
      <x:c r="P95" s="19"/>
      <x:c r="Q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8"/>
      <x:c r="M96" s="18"/>
      <x:c r="N96" s="18"/>
      <x:c r="O96" s="17"/>
      <x:c r="P96" s="19"/>
      <x:c r="Q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8"/>
      <x:c r="M97" s="18"/>
      <x:c r="N97" s="18"/>
      <x:c r="O97" s="17"/>
      <x:c r="P97" s="19"/>
      <x:c r="Q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8"/>
      <x:c r="M98" s="18"/>
      <x:c r="N98" s="18"/>
      <x:c r="O98" s="17"/>
      <x:c r="P98" s="19"/>
      <x:c r="Q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8"/>
      <x:c r="M99" s="18"/>
      <x:c r="N99" s="18"/>
      <x:c r="O99" s="17"/>
      <x:c r="P99" s="19"/>
      <x:c r="Q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8"/>
      <x:c r="M100" s="18"/>
      <x:c r="N100" s="18"/>
      <x:c r="O100" s="17"/>
      <x:c r="P100" s="19"/>
      <x:c r="Q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8"/>
      <x:c r="M101" s="18"/>
      <x:c r="N101" s="18"/>
      <x:c r="O101" s="17"/>
      <x:c r="P101" s="19"/>
      <x:c r="Q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8"/>
      <x:c r="M102" s="18"/>
      <x:c r="N102" s="18"/>
      <x:c r="O102" s="17"/>
      <x:c r="P102" s="19"/>
      <x:c r="Q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8"/>
      <x:c r="M103" s="18"/>
      <x:c r="N103" s="18"/>
      <x:c r="O103" s="17"/>
      <x:c r="P103" s="19"/>
      <x:c r="Q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8"/>
      <x:c r="M104" s="18"/>
      <x:c r="N104" s="18"/>
      <x:c r="O104" s="17"/>
      <x:c r="P104" s="19"/>
      <x:c r="Q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8"/>
      <x:c r="M105" s="18"/>
      <x:c r="N105" s="18"/>
      <x:c r="O105" s="17"/>
      <x:c r="P105" s="19"/>
      <x:c r="Q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8"/>
      <x:c r="M106" s="18"/>
      <x:c r="N106" s="18"/>
      <x:c r="O106" s="17"/>
      <x:c r="P106" s="19"/>
      <x:c r="Q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8"/>
      <x:c r="M107" s="18"/>
      <x:c r="N107" s="18"/>
      <x:c r="O107" s="17"/>
      <x:c r="P107" s="19"/>
      <x:c r="Q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8"/>
      <x:c r="M108" s="18"/>
      <x:c r="N108" s="18"/>
      <x:c r="O108" s="17"/>
      <x:c r="P108" s="19"/>
      <x:c r="Q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8"/>
      <x:c r="M109" s="18"/>
      <x:c r="N109" s="18"/>
      <x:c r="O109" s="17"/>
      <x:c r="P109" s="19"/>
      <x:c r="Q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8"/>
      <x:c r="M110" s="18"/>
      <x:c r="N110" s="18"/>
      <x:c r="O110" s="17"/>
      <x:c r="P110" s="19"/>
      <x:c r="Q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8"/>
      <x:c r="M111" s="18"/>
      <x:c r="N111" s="18"/>
      <x:c r="O111" s="17"/>
      <x:c r="P111" s="19"/>
      <x:c r="Q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8"/>
      <x:c r="M112" s="18"/>
      <x:c r="N112" s="18"/>
      <x:c r="O112" s="17"/>
      <x:c r="P112" s="19"/>
      <x:c r="Q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8"/>
      <x:c r="M113" s="18"/>
      <x:c r="N113" s="18"/>
      <x:c r="O113" s="17"/>
      <x:c r="P113" s="19"/>
      <x:c r="Q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8"/>
      <x:c r="M114" s="18"/>
      <x:c r="N114" s="18"/>
      <x:c r="O114" s="17"/>
      <x:c r="P114" s="19"/>
      <x:c r="Q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8"/>
      <x:c r="M115" s="18"/>
      <x:c r="N115" s="18"/>
      <x:c r="O115" s="17"/>
      <x:c r="P115" s="19"/>
      <x:c r="Q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8"/>
      <x:c r="M116" s="18"/>
      <x:c r="N116" s="18"/>
      <x:c r="O116" s="17"/>
      <x:c r="P116" s="19"/>
      <x:c r="Q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8"/>
      <x:c r="M117" s="18"/>
      <x:c r="N117" s="18"/>
      <x:c r="O117" s="17"/>
      <x:c r="P117" s="19"/>
      <x:c r="Q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8"/>
      <x:c r="M118" s="18"/>
      <x:c r="N118" s="18"/>
      <x:c r="O118" s="17"/>
      <x:c r="P118" s="19"/>
      <x:c r="Q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8"/>
      <x:c r="M119" s="18"/>
      <x:c r="N119" s="18"/>
      <x:c r="O119" s="17"/>
      <x:c r="P119" s="19"/>
      <x:c r="Q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8"/>
      <x:c r="M120" s="18"/>
      <x:c r="N120" s="18"/>
      <x:c r="O120" s="17"/>
      <x:c r="P120" s="19"/>
      <x:c r="Q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8"/>
      <x:c r="M121" s="18"/>
      <x:c r="N121" s="18"/>
      <x:c r="O121" s="17"/>
      <x:c r="P121" s="19"/>
      <x:c r="Q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8"/>
      <x:c r="M122" s="18"/>
      <x:c r="N122" s="18"/>
      <x:c r="O122" s="17"/>
      <x:c r="P122" s="19"/>
      <x:c r="Q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8"/>
      <x:c r="M123" s="18"/>
      <x:c r="N123" s="18"/>
      <x:c r="O123" s="17"/>
      <x:c r="P123" s="19"/>
      <x:c r="Q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8"/>
      <x:c r="M124" s="18"/>
      <x:c r="N124" s="18"/>
      <x:c r="O124" s="17"/>
      <x:c r="P124" s="19"/>
      <x:c r="Q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8"/>
      <x:c r="M125" s="18"/>
      <x:c r="N125" s="18"/>
      <x:c r="O125" s="17"/>
      <x:c r="P125" s="19"/>
      <x:c r="Q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8"/>
      <x:c r="M126" s="18"/>
      <x:c r="N126" s="18"/>
      <x:c r="O126" s="17"/>
      <x:c r="P126" s="19"/>
      <x:c r="Q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8"/>
      <x:c r="M127" s="18"/>
      <x:c r="N127" s="18"/>
      <x:c r="O127" s="17"/>
      <x:c r="P127" s="19"/>
      <x:c r="Q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8"/>
      <x:c r="M128" s="18"/>
      <x:c r="N128" s="18"/>
      <x:c r="O128" s="17"/>
      <x:c r="P128" s="19"/>
      <x:c r="Q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8"/>
      <x:c r="M129" s="18"/>
      <x:c r="N129" s="18"/>
      <x:c r="O129" s="17"/>
      <x:c r="P129" s="19"/>
      <x:c r="Q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8"/>
      <x:c r="M130" s="18"/>
      <x:c r="N130" s="18"/>
      <x:c r="O130" s="17"/>
      <x:c r="P130" s="19"/>
      <x:c r="Q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8"/>
      <x:c r="M131" s="18"/>
      <x:c r="N131" s="18"/>
      <x:c r="O131" s="17"/>
      <x:c r="P131" s="19"/>
      <x:c r="Q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8"/>
      <x:c r="M132" s="18"/>
      <x:c r="N132" s="18"/>
      <x:c r="O132" s="17"/>
      <x:c r="P132" s="19"/>
      <x:c r="Q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8"/>
      <x:c r="M133" s="18"/>
      <x:c r="N133" s="18"/>
      <x:c r="O133" s="17"/>
      <x:c r="P133" s="19"/>
      <x:c r="Q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8"/>
      <x:c r="M134" s="18"/>
      <x:c r="N134" s="18"/>
      <x:c r="O134" s="17"/>
      <x:c r="P134" s="19"/>
      <x:c r="Q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8"/>
      <x:c r="M135" s="18"/>
      <x:c r="N135" s="18"/>
      <x:c r="O135" s="17"/>
      <x:c r="P135" s="19"/>
      <x:c r="Q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8"/>
      <x:c r="M136" s="18"/>
      <x:c r="N136" s="18"/>
      <x:c r="O136" s="17"/>
      <x:c r="P136" s="19"/>
      <x:c r="Q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8"/>
      <x:c r="M137" s="18"/>
      <x:c r="N137" s="18"/>
      <x:c r="O137" s="17"/>
      <x:c r="P137" s="19"/>
      <x:c r="Q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8"/>
      <x:c r="M138" s="18"/>
      <x:c r="N138" s="18"/>
      <x:c r="O138" s="17"/>
      <x:c r="P138" s="19"/>
      <x:c r="Q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8"/>
      <x:c r="M139" s="18"/>
      <x:c r="N139" s="18"/>
      <x:c r="O139" s="17"/>
      <x:c r="P139" s="19"/>
      <x:c r="Q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8"/>
      <x:c r="M140" s="18"/>
      <x:c r="N140" s="18"/>
      <x:c r="O140" s="17"/>
      <x:c r="P140" s="19"/>
      <x:c r="Q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8"/>
      <x:c r="M141" s="18"/>
      <x:c r="N141" s="18"/>
      <x:c r="O141" s="17"/>
      <x:c r="P141" s="19"/>
      <x:c r="Q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8"/>
      <x:c r="M142" s="18"/>
      <x:c r="N142" s="18"/>
      <x:c r="O142" s="17"/>
      <x:c r="P142" s="19"/>
      <x:c r="Q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8"/>
      <x:c r="M143" s="18"/>
      <x:c r="N143" s="18"/>
      <x:c r="O143" s="17"/>
      <x:c r="P143" s="19"/>
      <x:c r="Q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8"/>
      <x:c r="M144" s="18"/>
      <x:c r="N144" s="18"/>
      <x:c r="O144" s="17"/>
      <x:c r="P144" s="19"/>
      <x:c r="Q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8"/>
      <x:c r="M145" s="18"/>
      <x:c r="N145" s="18"/>
      <x:c r="O145" s="17"/>
      <x:c r="P145" s="19"/>
      <x:c r="Q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8"/>
      <x:c r="M146" s="18"/>
      <x:c r="N146" s="18"/>
      <x:c r="O146" s="17"/>
      <x:c r="P146" s="19"/>
      <x:c r="Q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8"/>
      <x:c r="M147" s="18"/>
      <x:c r="N147" s="18"/>
      <x:c r="O147" s="17"/>
      <x:c r="P147" s="19"/>
      <x:c r="Q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8"/>
      <x:c r="M148" s="18"/>
      <x:c r="N148" s="18"/>
      <x:c r="O148" s="17"/>
      <x:c r="P148" s="19"/>
      <x:c r="Q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8"/>
      <x:c r="M149" s="18"/>
      <x:c r="N149" s="18"/>
      <x:c r="O149" s="17"/>
      <x:c r="P149" s="19"/>
      <x:c r="Q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8"/>
      <x:c r="M150" s="18"/>
      <x:c r="N150" s="18"/>
      <x:c r="O150" s="17"/>
      <x:c r="P150" s="19"/>
      <x:c r="Q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8"/>
      <x:c r="M151" s="18"/>
      <x:c r="N151" s="18"/>
      <x:c r="O151" s="17"/>
      <x:c r="P151" s="19"/>
      <x:c r="Q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8"/>
      <x:c r="M152" s="18"/>
      <x:c r="N152" s="18"/>
      <x:c r="O152" s="17"/>
      <x:c r="P152" s="19"/>
      <x:c r="Q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8"/>
      <x:c r="M153" s="18"/>
      <x:c r="N153" s="18"/>
      <x:c r="O153" s="17"/>
      <x:c r="P153" s="19"/>
      <x:c r="Q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8"/>
      <x:c r="M154" s="18"/>
      <x:c r="N154" s="18"/>
      <x:c r="O154" s="17"/>
      <x:c r="P154" s="19"/>
      <x:c r="Q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8"/>
      <x:c r="M155" s="18"/>
      <x:c r="N155" s="18"/>
      <x:c r="O155" s="17"/>
      <x:c r="P155" s="19"/>
      <x:c r="Q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8"/>
      <x:c r="M156" s="18"/>
      <x:c r="N156" s="18"/>
      <x:c r="O156" s="17"/>
      <x:c r="P156" s="19"/>
      <x:c r="Q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8"/>
      <x:c r="M157" s="18"/>
      <x:c r="N157" s="18"/>
      <x:c r="O157" s="17"/>
      <x:c r="P157" s="19"/>
      <x:c r="Q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8"/>
      <x:c r="M158" s="18"/>
      <x:c r="N158" s="18"/>
      <x:c r="O158" s="17"/>
      <x:c r="P158" s="19"/>
      <x:c r="Q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8"/>
      <x:c r="M159" s="18"/>
      <x:c r="N159" s="18"/>
      <x:c r="O159" s="17"/>
      <x:c r="P159" s="19"/>
      <x:c r="Q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8"/>
      <x:c r="M160" s="18"/>
      <x:c r="N160" s="18"/>
      <x:c r="O160" s="17"/>
      <x:c r="P160" s="19"/>
      <x:c r="Q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8"/>
      <x:c r="M161" s="18"/>
      <x:c r="N161" s="18"/>
      <x:c r="O161" s="17"/>
      <x:c r="P161" s="19"/>
      <x:c r="Q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8"/>
      <x:c r="M162" s="18"/>
      <x:c r="N162" s="18"/>
      <x:c r="O162" s="17"/>
      <x:c r="P162" s="19"/>
      <x:c r="Q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8"/>
      <x:c r="M163" s="18"/>
      <x:c r="N163" s="18"/>
      <x:c r="O163" s="17"/>
      <x:c r="P163" s="19"/>
      <x:c r="Q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8"/>
      <x:c r="M164" s="18"/>
      <x:c r="N164" s="18"/>
      <x:c r="O164" s="17"/>
      <x:c r="P164" s="19"/>
      <x:c r="Q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8"/>
      <x:c r="M165" s="18"/>
      <x:c r="N165" s="18"/>
      <x:c r="O165" s="17"/>
      <x:c r="P165" s="19"/>
      <x:c r="Q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8"/>
      <x:c r="M166" s="18"/>
      <x:c r="N166" s="18"/>
      <x:c r="O166" s="17"/>
      <x:c r="P166" s="19"/>
      <x:c r="Q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8"/>
      <x:c r="M167" s="18"/>
      <x:c r="N167" s="18"/>
      <x:c r="O167" s="17"/>
      <x:c r="P167" s="19"/>
      <x:c r="Q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8"/>
      <x:c r="M168" s="18"/>
      <x:c r="N168" s="18"/>
      <x:c r="O168" s="17"/>
      <x:c r="P168" s="19"/>
      <x:c r="Q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8"/>
      <x:c r="M169" s="18"/>
      <x:c r="N169" s="18"/>
      <x:c r="O169" s="17"/>
      <x:c r="P169" s="19"/>
      <x:c r="Q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8"/>
      <x:c r="M170" s="18"/>
      <x:c r="N170" s="18"/>
      <x:c r="O170" s="17"/>
      <x:c r="P170" s="19"/>
      <x:c r="Q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8"/>
      <x:c r="M171" s="18"/>
      <x:c r="N171" s="18"/>
      <x:c r="O171" s="17"/>
      <x:c r="P171" s="19"/>
      <x:c r="Q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8"/>
      <x:c r="M172" s="18"/>
      <x:c r="N172" s="18"/>
      <x:c r="O172" s="17"/>
      <x:c r="P172" s="19"/>
      <x:c r="Q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8"/>
      <x:c r="M173" s="18"/>
      <x:c r="N173" s="18"/>
      <x:c r="O173" s="17"/>
      <x:c r="P173" s="19"/>
      <x:c r="Q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8"/>
      <x:c r="M174" s="18"/>
      <x:c r="N174" s="18"/>
      <x:c r="O174" s="17"/>
      <x:c r="P174" s="19"/>
      <x:c r="Q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8"/>
      <x:c r="M175" s="18"/>
      <x:c r="N175" s="18"/>
      <x:c r="O175" s="17"/>
      <x:c r="P175" s="19"/>
      <x:c r="Q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8"/>
      <x:c r="M176" s="18"/>
      <x:c r="N176" s="18"/>
      <x:c r="O176" s="17"/>
      <x:c r="P176" s="19"/>
      <x:c r="Q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8"/>
      <x:c r="M177" s="18"/>
      <x:c r="N177" s="18"/>
      <x:c r="O177" s="17"/>
      <x:c r="P177" s="19"/>
      <x:c r="Q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8"/>
      <x:c r="M178" s="18"/>
      <x:c r="N178" s="18"/>
      <x:c r="O178" s="17"/>
      <x:c r="P178" s="19"/>
      <x:c r="Q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8"/>
      <x:c r="M179" s="18"/>
      <x:c r="N179" s="18"/>
      <x:c r="O179" s="17"/>
      <x:c r="P179" s="19"/>
      <x:c r="Q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8"/>
      <x:c r="M180" s="18"/>
      <x:c r="N180" s="18"/>
      <x:c r="O180" s="17"/>
      <x:c r="P180" s="19"/>
      <x:c r="Q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8"/>
      <x:c r="M181" s="18"/>
      <x:c r="N181" s="18"/>
      <x:c r="O181" s="17"/>
      <x:c r="P181" s="19"/>
      <x:c r="Q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8"/>
      <x:c r="M182" s="18"/>
      <x:c r="N182" s="18"/>
      <x:c r="O182" s="17"/>
      <x:c r="P182" s="19"/>
      <x:c r="Q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8"/>
      <x:c r="M183" s="18"/>
      <x:c r="N183" s="18"/>
      <x:c r="O183" s="17"/>
      <x:c r="P183" s="19"/>
      <x:c r="Q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8"/>
      <x:c r="M184" s="18"/>
      <x:c r="N184" s="18"/>
      <x:c r="O184" s="17"/>
      <x:c r="P184" s="19"/>
      <x:c r="Q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8"/>
      <x:c r="M185" s="18"/>
      <x:c r="N185" s="18"/>
      <x:c r="O185" s="17"/>
      <x:c r="P185" s="19"/>
      <x:c r="Q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8"/>
      <x:c r="M186" s="18"/>
      <x:c r="N186" s="18"/>
      <x:c r="O186" s="17"/>
      <x:c r="P186" s="19"/>
      <x:c r="Q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8"/>
      <x:c r="M187" s="18"/>
      <x:c r="N187" s="18"/>
      <x:c r="O187" s="17"/>
      <x:c r="P187" s="19"/>
      <x:c r="Q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8"/>
      <x:c r="M188" s="18"/>
      <x:c r="N188" s="18"/>
      <x:c r="O188" s="17"/>
      <x:c r="P188" s="19"/>
      <x:c r="Q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8"/>
      <x:c r="M189" s="18"/>
      <x:c r="N189" s="18"/>
      <x:c r="O189" s="17"/>
      <x:c r="P189" s="19"/>
      <x:c r="Q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8"/>
      <x:c r="M190" s="18"/>
      <x:c r="N190" s="18"/>
      <x:c r="O190" s="17"/>
      <x:c r="P190" s="19"/>
      <x:c r="Q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8"/>
      <x:c r="M191" s="18"/>
      <x:c r="N191" s="18"/>
      <x:c r="O191" s="17"/>
      <x:c r="P191" s="19"/>
      <x:c r="Q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8"/>
      <x:c r="M192" s="18"/>
      <x:c r="N192" s="18"/>
      <x:c r="O192" s="17"/>
      <x:c r="P192" s="19"/>
      <x:c r="Q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8"/>
      <x:c r="M193" s="18"/>
      <x:c r="N193" s="18"/>
      <x:c r="O193" s="17"/>
      <x:c r="P193" s="19"/>
      <x:c r="Q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8"/>
      <x:c r="M194" s="18"/>
      <x:c r="N194" s="18"/>
      <x:c r="O194" s="17"/>
      <x:c r="P194" s="19"/>
      <x:c r="Q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8"/>
      <x:c r="M195" s="18"/>
      <x:c r="N195" s="18"/>
      <x:c r="O195" s="17"/>
      <x:c r="P195" s="19"/>
      <x:c r="Q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8"/>
      <x:c r="M196" s="18"/>
      <x:c r="N196" s="18"/>
      <x:c r="O196" s="17"/>
      <x:c r="P196" s="19"/>
      <x:c r="Q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8"/>
      <x:c r="M197" s="18"/>
      <x:c r="N197" s="18"/>
      <x:c r="O197" s="17"/>
      <x:c r="P197" s="19"/>
      <x:c r="Q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8"/>
      <x:c r="M198" s="18"/>
      <x:c r="N198" s="18"/>
      <x:c r="O198" s="17"/>
      <x:c r="P198" s="19"/>
      <x:c r="Q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8"/>
      <x:c r="M199" s="18"/>
      <x:c r="N199" s="18"/>
      <x:c r="O199" s="17"/>
      <x:c r="P199" s="19"/>
      <x:c r="Q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8"/>
      <x:c r="M200" s="18"/>
      <x:c r="N200" s="18"/>
      <x:c r="O200" s="17"/>
      <x:c r="P200" s="19"/>
      <x:c r="Q200" s="17"/>
    </x:row>
  </x:sheetData>
  <x:conditionalFormatting sqref="D2:D200">
    <x:cfRule type="expression" dxfId="0" priority="1">
      <x:formula>D2="P1 - Crítica"</x:formula>
    </x:cfRule>
    <x:cfRule type="expression" dxfId="1" priority="2">
      <x:formula>D2="P2 - Alta"</x:formula>
    </x:cfRule>
  </x:conditionalFormatting>
  <x:conditionalFormatting sqref="F2:F200">
    <x:cfRule type="expression" dxfId="2" priority="3">
      <x:formula>F2="Bloqueado"</x:formula>
    </x:cfRule>
  </x:conditionalFormatting>
  <x:conditionalFormatting sqref="P2:P20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{A70C2F15-5D76-DC17-8A6B-181729C1C45D}</x14:id>
        </x:ext>
      </x:extLst>
    </x:cfRule>
  </x:conditionalFormatting>
  <x:dataValidations count="4">
    <x:dataValidation type="list" sqref="D2:D200">
      <x:formula1>"P1 - Crítica,P2 - Alta,P3 - Media,P4 - Baja"</x:formula1>
    </x:dataValidation>
    <x:dataValidation type="list" sqref="E2:E200">
      <x:formula1>"S,M,L,XL,N/A"</x:formula1>
    </x:dataValidation>
    <x:dataValidation type="list" sqref="F2:F200">
      <x:formula1>"Pendiente,Análisis,DEF,Historias,Ready,Desarrollo,Pruebas,Validación,Listo para producción,Producción,Cerrado,Bloqueado"</x:formula1>
    </x:dataValidation>
    <x:dataValidation type="list" sqref="O2:O200">
      <x:formula1>"Bajo,Medio,Alto,Crítico"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608156cf6641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70C2F15-5D76-DC17-8A6B-181729C1C45D}">
            <x14:dataBar gradient="1">
              <x14:cfvo type="min"/>
              <x14:cfvo type="max"/>
              <x14:fillColor rgb="FFA02B93"/>
            </x14:dataBar>
          </x14:cfRule>
          <xm:sqref>P2:P200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2" hidden="0" customWidth="1"/>
    <x:col min="5" max="5" width="18" hidden="0" customWidth="1"/>
    <x:col min="6" max="6" width="34" hidden="0" customWidth="1"/>
    <x:col min="7" max="7" width="22" hidden="0" customWidth="1"/>
    <x:col min="8" max="8" width="10" hidden="0" customWidth="1"/>
    <x:col min="9" max="9" width="14" hidden="0" customWidth="1"/>
    <x:col min="10" max="10" width="28" hidden="0" customWidth="1"/>
  </x:cols>
  <x:sheetData>
    <x:row r="1">
      <x:c r="A1" s="27" t="str">
        <x:v>PLAN SEMANAL DE CAPACIDAD Y AGENDA</x:v>
      </x:c>
    </x:row>
    <x:row r="3">
      <x:c r="A3" s="10" t="str">
        <x:v>Indicador</x:v>
      </x:c>
      <x:c r="B3" s="10" t="str">
        <x:v>Valor</x:v>
      </x:c>
    </x:row>
    <x:row r="4">
      <x:c r="A4" s="31" t="str">
        <x:v>Horas jornada diaria</x:v>
      </x:c>
      <x:c r="B4" t="n">
        <x:f>Config!B5</x:f>
        <x:v>8</x:v>
      </x:c>
    </x:row>
    <x:row r="5">
      <x:c r="A5" s="31" t="str">
        <x:v>Capacidad semanal total</x:v>
      </x:c>
      <x:c r="B5" t="n">
        <x:f>Config!B5*Config!B6</x:f>
        <x:v>40</x:v>
      </x:c>
    </x:row>
    <x:row r="6">
      <x:c r="A6" s="31" t="str">
        <x:v>% requerimientos</x:v>
      </x:c>
      <x:c r="B6" s="14" t="n">
        <x:f>Config!B7</x:f>
        <x:v>0.5</x:v>
      </x:c>
    </x:row>
    <x:row r="7">
      <x:c r="A7" s="31" t="str">
        <x:v>Horas disponibles req.</x:v>
      </x:c>
      <x:c r="B7" s="14" t="n">
        <x:f>B5*B6</x:f>
        <x:v>20</x:v>
      </x:c>
    </x:row>
    <x:row r="8">
      <x:c r="A8" s="31" t="str">
        <x:v>% otros proyectos</x:v>
      </x:c>
      <x:c r="B8" s="14" t="n">
        <x:f>Config!B8</x:f>
        <x:v>0.3</x:v>
      </x:c>
    </x:row>
    <x:row r="9">
      <x:c r="A9" s="31" t="str">
        <x:v>Horas otros proyectos</x:v>
      </x:c>
      <x:c r="B9" t="n">
        <x:f>B5*B8</x:f>
        <x:v>12</x:v>
      </x:c>
    </x:row>
    <x:row r="10">
      <x:c r="A10" s="31" t="str">
        <x:v>% reuniones + contingencia</x:v>
      </x:c>
      <x:c r="B10" t="n">
        <x:f>Config!B9+Config!B10</x:f>
        <x:v>0.2</x:v>
      </x:c>
    </x:row>
    <x:row r="13">
      <x:c r="A13" s="34" t="str">
        <x:v>Fecha</x:v>
      </x:c>
      <x:c r="B13" s="34" t="str">
        <x:v>Día</x:v>
      </x:c>
      <x:c r="C13" s="34" t="str">
        <x:v>Semana</x:v>
      </x:c>
      <x:c r="D13" s="34" t="str">
        <x:v>ID Req.</x:v>
      </x:c>
      <x:c r="E13" s="34" t="str">
        <x:v>Etapa</x:v>
      </x:c>
      <x:c r="F13" s="34" t="str">
        <x:v>Actividad</x:v>
      </x:c>
      <x:c r="G13" s="34" t="str">
        <x:v>Proyecto / otro</x:v>
      </x:c>
      <x:c r="H13" s="34" t="str">
        <x:v>Horas</x:v>
      </x:c>
      <x:c r="I13" s="34" t="str">
        <x:v>Responsable</x:v>
      </x:c>
      <x:c r="J13" s="34" t="str">
        <x:v>Notas</x:v>
      </x:c>
    </x:row>
    <x:row r="14">
      <x:c r="A14" s="18" t="n">
        <x:v>46293</x:v>
      </x:c>
      <x:c r="B14" s="17" t="str">
        <x:v>Monday</x:v>
      </x:c>
      <x:c r="C14" s="17" t="n">
        <x:f>ROUNDUP((ROW()-13)/5,0)</x:f>
        <x:v>1</x:v>
      </x:c>
      <x:c r="D14" s="17" t="str"/>
      <x:c r="E14" s="17" t="str"/>
      <x:c r="F14" s="17" t="str"/>
      <x:c r="G14" s="17" t="str"/>
      <x:c r="H14" s="17" t="n">
        <x:v>0</x:v>
      </x:c>
      <x:c r="I14" s="17" t="str"/>
      <x:c r="J14" s="17" t="str"/>
    </x:row>
    <x:row r="15">
      <x:c r="A15" s="18" t="n">
        <x:v>46294</x:v>
      </x:c>
      <x:c r="B15" s="17" t="str">
        <x:v>Tuesday</x:v>
      </x:c>
      <x:c r="C15" s="17" t="n">
        <x:f>ROUNDUP((ROW()-13)/5,0)</x:f>
        <x:v>1</x:v>
      </x:c>
      <x:c r="D15" s="17" t="str"/>
      <x:c r="E15" s="17" t="str"/>
      <x:c r="F15" s="17" t="str"/>
      <x:c r="G15" s="17" t="str"/>
      <x:c r="H15" s="17" t="n">
        <x:v>0</x:v>
      </x:c>
      <x:c r="I15" s="17" t="str"/>
      <x:c r="J15" s="17" t="str"/>
    </x:row>
    <x:row r="16">
      <x:c r="A16" s="18" t="n">
        <x:v>46295</x:v>
      </x:c>
      <x:c r="B16" s="17" t="str">
        <x:v>Wednesday</x:v>
      </x:c>
      <x:c r="C16" s="17" t="n">
        <x:f>ROUNDUP((ROW()-13)/5,0)</x:f>
        <x:v>1</x:v>
      </x:c>
      <x:c r="D16" s="17" t="str"/>
      <x:c r="E16" s="17" t="str"/>
      <x:c r="F16" s="17" t="str"/>
      <x:c r="G16" s="17" t="str"/>
      <x:c r="H16" s="17" t="n">
        <x:v>0</x:v>
      </x:c>
      <x:c r="I16" s="17" t="str"/>
      <x:c r="J16" s="17" t="str"/>
    </x:row>
    <x:row r="17">
      <x:c r="A17" s="18" t="n">
        <x:v>46296</x:v>
      </x:c>
      <x:c r="B17" s="17" t="str">
        <x:v>Thursday</x:v>
      </x:c>
      <x:c r="C17" s="17" t="n">
        <x:f>ROUNDUP((ROW()-13)/5,0)</x:f>
        <x:v>1</x:v>
      </x:c>
      <x:c r="D17" s="17" t="str"/>
      <x:c r="E17" s="17" t="str"/>
      <x:c r="F17" s="17" t="str"/>
      <x:c r="G17" s="17" t="str"/>
      <x:c r="H17" s="17" t="n">
        <x:v>0</x:v>
      </x:c>
      <x:c r="I17" s="17" t="str"/>
      <x:c r="J17" s="17" t="str"/>
    </x:row>
    <x:row r="18">
      <x:c r="A18" s="18" t="n">
        <x:v>46297</x:v>
      </x:c>
      <x:c r="B18" s="17" t="str">
        <x:v>Friday</x:v>
      </x:c>
      <x:c r="C18" s="17" t="n">
        <x:f>ROUNDUP((ROW()-13)/5,0)</x:f>
        <x:v>1</x:v>
      </x:c>
      <x:c r="D18" s="17" t="str"/>
      <x:c r="E18" s="17" t="str"/>
      <x:c r="F18" s="17" t="str"/>
      <x:c r="G18" s="17" t="str"/>
      <x:c r="H18" s="17" t="n">
        <x:v>0</x:v>
      </x:c>
      <x:c r="I18" s="17" t="str"/>
      <x:c r="J18" s="17" t="str"/>
    </x:row>
    <x:row r="19">
      <x:c r="A19" s="18" t="n">
        <x:v>46300</x:v>
      </x:c>
      <x:c r="B19" s="17" t="str">
        <x:v>Monday</x:v>
      </x:c>
      <x:c r="C19" s="17" t="n">
        <x:f>ROUNDUP((ROW()-13)/5,0)</x:f>
        <x:v>2</x:v>
      </x:c>
      <x:c r="D19" s="17" t="str"/>
      <x:c r="E19" s="17" t="str"/>
      <x:c r="F19" s="17" t="str"/>
      <x:c r="G19" s="17" t="str"/>
      <x:c r="H19" s="17" t="n">
        <x:v>0</x:v>
      </x:c>
      <x:c r="I19" s="17" t="str"/>
      <x:c r="J19" s="17" t="str"/>
    </x:row>
    <x:row r="20">
      <x:c r="A20" s="18" t="n">
        <x:v>46301</x:v>
      </x:c>
      <x:c r="B20" s="17" t="str">
        <x:v>Tuesday</x:v>
      </x:c>
      <x:c r="C20" s="17" t="n">
        <x:f>ROUNDUP((ROW()-13)/5,0)</x:f>
        <x:v>2</x:v>
      </x:c>
      <x:c r="D20" s="17" t="str"/>
      <x:c r="E20" s="17" t="str"/>
      <x:c r="F20" s="17" t="str"/>
      <x:c r="G20" s="17" t="str"/>
      <x:c r="H20" s="17" t="n">
        <x:v>0</x:v>
      </x:c>
      <x:c r="I20" s="17" t="str"/>
      <x:c r="J20" s="17" t="str"/>
    </x:row>
    <x:row r="21">
      <x:c r="A21" s="18" t="n">
        <x:v>46302</x:v>
      </x:c>
      <x:c r="B21" s="17" t="str">
        <x:v>Wednesday</x:v>
      </x:c>
      <x:c r="C21" s="17" t="n">
        <x:f>ROUNDUP((ROW()-13)/5,0)</x:f>
        <x:v>2</x:v>
      </x:c>
      <x:c r="D21" s="17" t="str"/>
      <x:c r="E21" s="17" t="str"/>
      <x:c r="F21" s="17" t="str"/>
      <x:c r="G21" s="17" t="str"/>
      <x:c r="H21" s="17" t="n">
        <x:v>0</x:v>
      </x:c>
      <x:c r="I21" s="17" t="str"/>
      <x:c r="J21" s="17" t="str"/>
    </x:row>
    <x:row r="22">
      <x:c r="A22" s="18" t="n">
        <x:v>46303</x:v>
      </x:c>
      <x:c r="B22" s="17" t="str">
        <x:v>Thursday</x:v>
      </x:c>
      <x:c r="C22" s="17" t="n">
        <x:f>ROUNDUP((ROW()-13)/5,0)</x:f>
        <x:v>2</x:v>
      </x:c>
      <x:c r="D22" s="17" t="str"/>
      <x:c r="E22" s="17" t="str"/>
      <x:c r="F22" s="17" t="str"/>
      <x:c r="G22" s="17" t="str"/>
      <x:c r="H22" s="17" t="n">
        <x:v>0</x:v>
      </x:c>
      <x:c r="I22" s="17" t="str"/>
      <x:c r="J22" s="17" t="str"/>
    </x:row>
    <x:row r="23">
      <x:c r="A23" s="18" t="n">
        <x:v>46304</x:v>
      </x:c>
      <x:c r="B23" s="17" t="str">
        <x:v>Friday</x:v>
      </x:c>
      <x:c r="C23" s="17" t="n">
        <x:f>ROUNDUP((ROW()-13)/5,0)</x:f>
        <x:v>2</x:v>
      </x:c>
      <x:c r="D23" s="17" t="str"/>
      <x:c r="E23" s="17" t="str"/>
      <x:c r="F23" s="17" t="str"/>
      <x:c r="G23" s="17" t="str"/>
      <x:c r="H23" s="17" t="n">
        <x:v>0</x:v>
      </x:c>
      <x:c r="I23" s="17" t="str"/>
      <x:c r="J23" s="17" t="str"/>
    </x:row>
    <x:row r="24">
      <x:c r="A24" s="18" t="n">
        <x:v>46307</x:v>
      </x:c>
      <x:c r="B24" s="17" t="str">
        <x:v>Monday</x:v>
      </x:c>
      <x:c r="C24" s="17" t="n">
        <x:f>ROUNDUP((ROW()-13)/5,0)</x:f>
        <x:v>3</x:v>
      </x:c>
      <x:c r="D24" s="17" t="str"/>
      <x:c r="E24" s="17" t="str"/>
      <x:c r="F24" s="17" t="str"/>
      <x:c r="G24" s="17" t="str"/>
      <x:c r="H24" s="17" t="n">
        <x:v>0</x:v>
      </x:c>
      <x:c r="I24" s="17" t="str"/>
      <x:c r="J24" s="17" t="str"/>
    </x:row>
    <x:row r="25">
      <x:c r="A25" s="18" t="n">
        <x:v>46308</x:v>
      </x:c>
      <x:c r="B25" s="17" t="str">
        <x:v>Tuesday</x:v>
      </x:c>
      <x:c r="C25" s="17" t="n">
        <x:f>ROUNDUP((ROW()-13)/5,0)</x:f>
        <x:v>3</x:v>
      </x:c>
      <x:c r="D25" s="17" t="str"/>
      <x:c r="E25" s="17" t="str"/>
      <x:c r="F25" s="17" t="str"/>
      <x:c r="G25" s="17" t="str"/>
      <x:c r="H25" s="17" t="n">
        <x:v>0</x:v>
      </x:c>
      <x:c r="I25" s="17" t="str"/>
      <x:c r="J25" s="17" t="str"/>
    </x:row>
    <x:row r="26">
      <x:c r="A26" s="18" t="n">
        <x:v>46309</x:v>
      </x:c>
      <x:c r="B26" s="17" t="str">
        <x:v>Wednesday</x:v>
      </x:c>
      <x:c r="C26" s="17" t="n">
        <x:f>ROUNDUP((ROW()-13)/5,0)</x:f>
        <x:v>3</x:v>
      </x:c>
      <x:c r="D26" s="17" t="str"/>
      <x:c r="E26" s="17" t="str"/>
      <x:c r="F26" s="17" t="str"/>
      <x:c r="G26" s="17" t="str"/>
      <x:c r="H26" s="17" t="n">
        <x:v>0</x:v>
      </x:c>
      <x:c r="I26" s="17" t="str"/>
      <x:c r="J26" s="17" t="str"/>
    </x:row>
    <x:row r="27">
      <x:c r="A27" s="18" t="n">
        <x:v>46310</x:v>
      </x:c>
      <x:c r="B27" s="17" t="str">
        <x:v>Thursday</x:v>
      </x:c>
      <x:c r="C27" s="17" t="n">
        <x:f>ROUNDUP((ROW()-13)/5,0)</x:f>
        <x:v>3</x:v>
      </x:c>
      <x:c r="D27" s="17" t="str"/>
      <x:c r="E27" s="17" t="str"/>
      <x:c r="F27" s="17" t="str"/>
      <x:c r="G27" s="17" t="str"/>
      <x:c r="H27" s="17" t="n">
        <x:v>0</x:v>
      </x:c>
      <x:c r="I27" s="17" t="str"/>
      <x:c r="J27" s="17" t="str"/>
    </x:row>
    <x:row r="28">
      <x:c r="A28" s="18" t="n">
        <x:v>46311</x:v>
      </x:c>
      <x:c r="B28" s="17" t="str">
        <x:v>Friday</x:v>
      </x:c>
      <x:c r="C28" s="17" t="n">
        <x:f>ROUNDUP((ROW()-13)/5,0)</x:f>
        <x:v>3</x:v>
      </x:c>
      <x:c r="D28" s="17" t="str"/>
      <x:c r="E28" s="17" t="str"/>
      <x:c r="F28" s="17" t="str"/>
      <x:c r="G28" s="17" t="str"/>
      <x:c r="H28" s="17" t="n">
        <x:v>0</x:v>
      </x:c>
      <x:c r="I28" s="17" t="str"/>
      <x:c r="J28" s="17" t="str"/>
    </x:row>
    <x:row r="29">
      <x:c r="A29" s="18" t="n">
        <x:v>46314</x:v>
      </x:c>
      <x:c r="B29" s="17" t="str">
        <x:v>Monday</x:v>
      </x:c>
      <x:c r="C29" s="17" t="n">
        <x:f>ROUNDUP((ROW()-13)/5,0)</x:f>
        <x:v>4</x:v>
      </x:c>
      <x:c r="D29" s="17" t="str"/>
      <x:c r="E29" s="17" t="str"/>
      <x:c r="F29" s="17" t="str"/>
      <x:c r="G29" s="17" t="str"/>
      <x:c r="H29" s="17" t="n">
        <x:v>0</x:v>
      </x:c>
      <x:c r="I29" s="17" t="str"/>
      <x:c r="J29" s="17" t="str"/>
    </x:row>
    <x:row r="30">
      <x:c r="A30" s="18" t="n">
        <x:v>46315</x:v>
      </x:c>
      <x:c r="B30" s="17" t="str">
        <x:v>Tuesday</x:v>
      </x:c>
      <x:c r="C30" s="17" t="n">
        <x:f>ROUNDUP((ROW()-13)/5,0)</x:f>
        <x:v>4</x:v>
      </x:c>
      <x:c r="D30" s="17" t="str"/>
      <x:c r="E30" s="17" t="str"/>
      <x:c r="F30" s="17" t="str"/>
      <x:c r="G30" s="17" t="str"/>
      <x:c r="H30" s="17" t="n">
        <x:v>0</x:v>
      </x:c>
      <x:c r="I30" s="17" t="str"/>
      <x:c r="J30" s="17" t="str"/>
    </x:row>
    <x:row r="31">
      <x:c r="A31" s="18" t="n">
        <x:v>46316</x:v>
      </x:c>
      <x:c r="B31" s="17" t="str">
        <x:v>Wednesday</x:v>
      </x:c>
      <x:c r="C31" s="17" t="n">
        <x:f>ROUNDUP((ROW()-13)/5,0)</x:f>
        <x:v>4</x:v>
      </x:c>
      <x:c r="D31" s="17" t="str"/>
      <x:c r="E31" s="17" t="str"/>
      <x:c r="F31" s="17" t="str"/>
      <x:c r="G31" s="17" t="str"/>
      <x:c r="H31" s="17" t="n">
        <x:v>0</x:v>
      </x:c>
      <x:c r="I31" s="17" t="str"/>
      <x:c r="J31" s="17" t="str"/>
    </x:row>
    <x:row r="32">
      <x:c r="A32" s="18" t="n">
        <x:v>46317</x:v>
      </x:c>
      <x:c r="B32" s="17" t="str">
        <x:v>Thursday</x:v>
      </x:c>
      <x:c r="C32" s="17" t="n">
        <x:f>ROUNDUP((ROW()-13)/5,0)</x:f>
        <x:v>4</x:v>
      </x:c>
      <x:c r="D32" s="17" t="str"/>
      <x:c r="E32" s="17" t="str"/>
      <x:c r="F32" s="17" t="str"/>
      <x:c r="G32" s="17" t="str"/>
      <x:c r="H32" s="17" t="n">
        <x:v>0</x:v>
      </x:c>
      <x:c r="I32" s="17" t="str"/>
      <x:c r="J32" s="17" t="str"/>
    </x:row>
    <x:row r="33">
      <x:c r="A33" s="18" t="n">
        <x:v>46318</x:v>
      </x:c>
      <x:c r="B33" s="17" t="str">
        <x:v>Friday</x:v>
      </x:c>
      <x:c r="C33" s="17" t="n">
        <x:f>ROUNDUP((ROW()-13)/5,0)</x:f>
        <x:v>4</x:v>
      </x:c>
      <x:c r="D33" s="17" t="str"/>
      <x:c r="E33" s="17" t="str"/>
      <x:c r="F33" s="17" t="str"/>
      <x:c r="G33" s="17" t="str"/>
      <x:c r="H33" s="17" t="n">
        <x:v>0</x:v>
      </x:c>
      <x:c r="I33" s="17" t="str"/>
      <x:c r="J33" s="17" t="str"/>
    </x:row>
    <x:row r="34">
      <x:c r="A34" s="18" t="n">
        <x:v>46321</x:v>
      </x:c>
      <x:c r="B34" s="17" t="str">
        <x:v>Monday</x:v>
      </x:c>
      <x:c r="C34" s="17" t="n">
        <x:f>ROUNDUP((ROW()-13)/5,0)</x:f>
        <x:v>5</x:v>
      </x:c>
      <x:c r="D34" s="17" t="str"/>
      <x:c r="E34" s="17" t="str"/>
      <x:c r="F34" s="17" t="str"/>
      <x:c r="G34" s="17" t="str"/>
      <x:c r="H34" s="17" t="n">
        <x:v>0</x:v>
      </x:c>
      <x:c r="I34" s="17" t="str"/>
      <x:c r="J34" s="17" t="str"/>
    </x:row>
    <x:row r="35">
      <x:c r="A35" s="18" t="n">
        <x:v>46322</x:v>
      </x:c>
      <x:c r="B35" s="17" t="str">
        <x:v>Tuesday</x:v>
      </x:c>
      <x:c r="C35" s="17" t="n">
        <x:f>ROUNDUP((ROW()-13)/5,0)</x:f>
        <x:v>5</x:v>
      </x:c>
      <x:c r="D35" s="17" t="str"/>
      <x:c r="E35" s="17" t="str"/>
      <x:c r="F35" s="17" t="str"/>
      <x:c r="G35" s="17" t="str"/>
      <x:c r="H35" s="17" t="n">
        <x:v>0</x:v>
      </x:c>
      <x:c r="I35" s="17" t="str"/>
      <x:c r="J35" s="17" t="str"/>
    </x:row>
    <x:row r="36">
      <x:c r="A36" s="18" t="n">
        <x:v>46323</x:v>
      </x:c>
      <x:c r="B36" s="17" t="str">
        <x:v>Wednesday</x:v>
      </x:c>
      <x:c r="C36" s="17" t="n">
        <x:f>ROUNDUP((ROW()-13)/5,0)</x:f>
        <x:v>5</x:v>
      </x:c>
      <x:c r="D36" s="17" t="str"/>
      <x:c r="E36" s="17" t="str"/>
      <x:c r="F36" s="17" t="str"/>
      <x:c r="G36" s="17" t="str"/>
      <x:c r="H36" s="17" t="n">
        <x:v>0</x:v>
      </x:c>
      <x:c r="I36" s="17" t="str"/>
      <x:c r="J36" s="17" t="str"/>
    </x:row>
    <x:row r="37">
      <x:c r="A37" s="18" t="n">
        <x:v>46324</x:v>
      </x:c>
      <x:c r="B37" s="17" t="str">
        <x:v>Thursday</x:v>
      </x:c>
      <x:c r="C37" s="17" t="n">
        <x:f>ROUNDUP((ROW()-13)/5,0)</x:f>
        <x:v>5</x:v>
      </x:c>
      <x:c r="D37" s="17" t="str"/>
      <x:c r="E37" s="17" t="str"/>
      <x:c r="F37" s="17" t="str"/>
      <x:c r="G37" s="17" t="str"/>
      <x:c r="H37" s="17" t="n">
        <x:v>0</x:v>
      </x:c>
      <x:c r="I37" s="17" t="str"/>
      <x:c r="J37" s="17" t="str"/>
    </x:row>
    <x:row r="38">
      <x:c r="A38" s="18" t="n">
        <x:v>46325</x:v>
      </x:c>
      <x:c r="B38" s="17" t="str">
        <x:v>Friday</x:v>
      </x:c>
      <x:c r="C38" s="17" t="n">
        <x:f>ROUNDUP((ROW()-13)/5,0)</x:f>
        <x:v>5</x:v>
      </x:c>
      <x:c r="D38" s="17" t="str"/>
      <x:c r="E38" s="17" t="str"/>
      <x:c r="F38" s="17" t="str"/>
      <x:c r="G38" s="17" t="str"/>
      <x:c r="H38" s="17" t="n">
        <x:v>0</x:v>
      </x:c>
      <x:c r="I38" s="17" t="str"/>
      <x:c r="J38" s="17" t="str"/>
    </x:row>
    <x:row r="39">
      <x:c r="A39" s="18" t="n">
        <x:v>46328</x:v>
      </x:c>
      <x:c r="B39" s="17" t="str">
        <x:v>Monday</x:v>
      </x:c>
      <x:c r="C39" s="17" t="n">
        <x:f>ROUNDUP((ROW()-13)/5,0)</x:f>
        <x:v>6</x:v>
      </x:c>
      <x:c r="D39" s="17" t="str"/>
      <x:c r="E39" s="17" t="str"/>
      <x:c r="F39" s="17" t="str"/>
      <x:c r="G39" s="17" t="str"/>
      <x:c r="H39" s="17" t="n">
        <x:v>0</x:v>
      </x:c>
      <x:c r="I39" s="17" t="str"/>
      <x:c r="J39" s="17" t="str"/>
    </x:row>
    <x:row r="40">
      <x:c r="A40" s="18" t="n">
        <x:v>46329</x:v>
      </x:c>
      <x:c r="B40" s="17" t="str">
        <x:v>Tuesday</x:v>
      </x:c>
      <x:c r="C40" s="17" t="n">
        <x:f>ROUNDUP((ROW()-13)/5,0)</x:f>
        <x:v>6</x:v>
      </x:c>
      <x:c r="D40" s="17" t="str"/>
      <x:c r="E40" s="17" t="str"/>
      <x:c r="F40" s="17" t="str"/>
      <x:c r="G40" s="17" t="str"/>
      <x:c r="H40" s="17" t="n">
        <x:v>0</x:v>
      </x:c>
      <x:c r="I40" s="17" t="str"/>
      <x:c r="J40" s="17" t="str"/>
    </x:row>
    <x:row r="41">
      <x:c r="A41" s="18" t="n">
        <x:v>46330</x:v>
      </x:c>
      <x:c r="B41" s="17" t="str">
        <x:v>Wednesday</x:v>
      </x:c>
      <x:c r="C41" s="17" t="n">
        <x:f>ROUNDUP((ROW()-13)/5,0)</x:f>
        <x:v>6</x:v>
      </x:c>
      <x:c r="D41" s="17" t="str"/>
      <x:c r="E41" s="17" t="str"/>
      <x:c r="F41" s="17" t="str"/>
      <x:c r="G41" s="17" t="str"/>
      <x:c r="H41" s="17" t="n">
        <x:v>0</x:v>
      </x:c>
      <x:c r="I41" s="17" t="str"/>
      <x:c r="J41" s="17" t="str"/>
    </x:row>
    <x:row r="42">
      <x:c r="A42" s="18" t="n">
        <x:v>46331</x:v>
      </x:c>
      <x:c r="B42" s="17" t="str">
        <x:v>Thursday</x:v>
      </x:c>
      <x:c r="C42" s="17" t="n">
        <x:f>ROUNDUP((ROW()-13)/5,0)</x:f>
        <x:v>6</x:v>
      </x:c>
      <x:c r="D42" s="17" t="str"/>
      <x:c r="E42" s="17" t="str"/>
      <x:c r="F42" s="17" t="str"/>
      <x:c r="G42" s="17" t="str"/>
      <x:c r="H42" s="17" t="n">
        <x:v>0</x:v>
      </x:c>
      <x:c r="I42" s="17" t="str"/>
      <x:c r="J42" s="17" t="str"/>
    </x:row>
    <x:row r="43">
      <x:c r="A43" s="18" t="n">
        <x:v>46332</x:v>
      </x:c>
      <x:c r="B43" s="17" t="str">
        <x:v>Friday</x:v>
      </x:c>
      <x:c r="C43" s="17" t="n">
        <x:f>ROUNDUP((ROW()-13)/5,0)</x:f>
        <x:v>6</x:v>
      </x:c>
      <x:c r="D43" s="17" t="str"/>
      <x:c r="E43" s="17" t="str"/>
      <x:c r="F43" s="17" t="str"/>
      <x:c r="G43" s="17" t="str"/>
      <x:c r="H43" s="17" t="n">
        <x:v>0</x:v>
      </x:c>
      <x:c r="I43" s="17" t="str"/>
      <x:c r="J43" s="17" t="str"/>
    </x:row>
    <x:row r="44">
      <x:c r="A44" s="18" t="n">
        <x:v>46335</x:v>
      </x:c>
      <x:c r="B44" s="17" t="str">
        <x:v>Monday</x:v>
      </x:c>
      <x:c r="C44" s="17" t="n">
        <x:f>ROUNDUP((ROW()-13)/5,0)</x:f>
        <x:v>7</x:v>
      </x:c>
      <x:c r="D44" s="17" t="str"/>
      <x:c r="E44" s="17" t="str"/>
      <x:c r="F44" s="17" t="str"/>
      <x:c r="G44" s="17" t="str"/>
      <x:c r="H44" s="17" t="n">
        <x:v>0</x:v>
      </x:c>
      <x:c r="I44" s="17" t="str"/>
      <x:c r="J44" s="17" t="str"/>
    </x:row>
    <x:row r="45">
      <x:c r="A45" s="18" t="n">
        <x:v>46336</x:v>
      </x:c>
      <x:c r="B45" s="17" t="str">
        <x:v>Tuesday</x:v>
      </x:c>
      <x:c r="C45" s="17" t="n">
        <x:f>ROUNDUP((ROW()-13)/5,0)</x:f>
        <x:v>7</x:v>
      </x:c>
      <x:c r="D45" s="17" t="str"/>
      <x:c r="E45" s="17" t="str"/>
      <x:c r="F45" s="17" t="str"/>
      <x:c r="G45" s="17" t="str"/>
      <x:c r="H45" s="17" t="n">
        <x:v>0</x:v>
      </x:c>
      <x:c r="I45" s="17" t="str"/>
      <x:c r="J45" s="17" t="str"/>
    </x:row>
    <x:row r="46">
      <x:c r="A46" s="18" t="n">
        <x:v>46337</x:v>
      </x:c>
      <x:c r="B46" s="17" t="str">
        <x:v>Wednesday</x:v>
      </x:c>
      <x:c r="C46" s="17" t="n">
        <x:f>ROUNDUP((ROW()-13)/5,0)</x:f>
        <x:v>7</x:v>
      </x:c>
      <x:c r="D46" s="17" t="str"/>
      <x:c r="E46" s="17" t="str"/>
      <x:c r="F46" s="17" t="str"/>
      <x:c r="G46" s="17" t="str"/>
      <x:c r="H46" s="17" t="n">
        <x:v>0</x:v>
      </x:c>
      <x:c r="I46" s="17" t="str"/>
      <x:c r="J46" s="17" t="str"/>
    </x:row>
    <x:row r="47">
      <x:c r="A47" s="18" t="n">
        <x:v>46338</x:v>
      </x:c>
      <x:c r="B47" s="17" t="str">
        <x:v>Thursday</x:v>
      </x:c>
      <x:c r="C47" s="17" t="n">
        <x:f>ROUNDUP((ROW()-13)/5,0)</x:f>
        <x:v>7</x:v>
      </x:c>
      <x:c r="D47" s="17" t="str"/>
      <x:c r="E47" s="17" t="str"/>
      <x:c r="F47" s="17" t="str"/>
      <x:c r="G47" s="17" t="str"/>
      <x:c r="H47" s="17" t="n">
        <x:v>0</x:v>
      </x:c>
      <x:c r="I47" s="17" t="str"/>
      <x:c r="J47" s="17" t="str"/>
    </x:row>
    <x:row r="48">
      <x:c r="A48" s="18" t="n">
        <x:v>46339</x:v>
      </x:c>
      <x:c r="B48" s="17" t="str">
        <x:v>Friday</x:v>
      </x:c>
      <x:c r="C48" s="17" t="n">
        <x:f>ROUNDUP((ROW()-13)/5,0)</x:f>
        <x:v>7</x:v>
      </x:c>
      <x:c r="D48" s="17" t="str"/>
      <x:c r="E48" s="17" t="str"/>
      <x:c r="F48" s="17" t="str"/>
      <x:c r="G48" s="17" t="str"/>
      <x:c r="H48" s="17" t="n">
        <x:v>0</x:v>
      </x:c>
      <x:c r="I48" s="17" t="str"/>
      <x:c r="J48" s="17" t="str"/>
    </x:row>
    <x:row r="49">
      <x:c r="A49" s="18" t="n">
        <x:v>46342</x:v>
      </x:c>
      <x:c r="B49" s="17" t="str">
        <x:v>Monday</x:v>
      </x:c>
      <x:c r="C49" s="17" t="n">
        <x:f>ROUNDUP((ROW()-13)/5,0)</x:f>
        <x:v>8</x:v>
      </x:c>
      <x:c r="D49" s="17" t="str"/>
      <x:c r="E49" s="17" t="str"/>
      <x:c r="F49" s="17" t="str"/>
      <x:c r="G49" s="17" t="str"/>
      <x:c r="H49" s="17" t="n">
        <x:v>0</x:v>
      </x:c>
      <x:c r="I49" s="17" t="str"/>
      <x:c r="J49" s="17" t="str"/>
    </x:row>
    <x:row r="50">
      <x:c r="A50" s="18" t="n">
        <x:v>46343</x:v>
      </x:c>
      <x:c r="B50" s="17" t="str">
        <x:v>Tuesday</x:v>
      </x:c>
      <x:c r="C50" s="17" t="n">
        <x:f>ROUNDUP((ROW()-13)/5,0)</x:f>
        <x:v>8</x:v>
      </x:c>
      <x:c r="D50" s="17" t="str"/>
      <x:c r="E50" s="17" t="str"/>
      <x:c r="F50" s="17" t="str"/>
      <x:c r="G50" s="17" t="str"/>
      <x:c r="H50" s="17" t="n">
        <x:v>0</x:v>
      </x:c>
      <x:c r="I50" s="17" t="str"/>
      <x:c r="J50" s="17" t="str"/>
    </x:row>
    <x:row r="51">
      <x:c r="A51" s="18" t="n">
        <x:v>46344</x:v>
      </x:c>
      <x:c r="B51" s="17" t="str">
        <x:v>Wednesday</x:v>
      </x:c>
      <x:c r="C51" s="17" t="n">
        <x:f>ROUNDUP((ROW()-13)/5,0)</x:f>
        <x:v>8</x:v>
      </x:c>
      <x:c r="D51" s="17" t="str"/>
      <x:c r="E51" s="17" t="str"/>
      <x:c r="F51" s="17" t="str"/>
      <x:c r="G51" s="17" t="str"/>
      <x:c r="H51" s="17" t="n">
        <x:v>0</x:v>
      </x:c>
      <x:c r="I51" s="17" t="str"/>
      <x:c r="J51" s="17" t="str"/>
    </x:row>
    <x:row r="52">
      <x:c r="A52" s="18" t="n">
        <x:v>46345</x:v>
      </x:c>
      <x:c r="B52" s="17" t="str">
        <x:v>Thursday</x:v>
      </x:c>
      <x:c r="C52" s="17" t="n">
        <x:f>ROUNDUP((ROW()-13)/5,0)</x:f>
        <x:v>8</x:v>
      </x:c>
      <x:c r="D52" s="17" t="str"/>
      <x:c r="E52" s="17" t="str"/>
      <x:c r="F52" s="17" t="str"/>
      <x:c r="G52" s="17" t="str"/>
      <x:c r="H52" s="17" t="n">
        <x:v>0</x:v>
      </x:c>
      <x:c r="I52" s="17" t="str"/>
      <x:c r="J52" s="17" t="str"/>
    </x:row>
    <x:row r="53">
      <x:c r="A53" s="18" t="n">
        <x:v>46346</x:v>
      </x:c>
      <x:c r="B53" s="17" t="str">
        <x:v>Friday</x:v>
      </x:c>
      <x:c r="C53" s="17" t="n">
        <x:f>ROUNDUP((ROW()-13)/5,0)</x:f>
        <x:v>8</x:v>
      </x:c>
      <x:c r="D53" s="17" t="str"/>
      <x:c r="E53" s="17" t="str"/>
      <x:c r="F53" s="17" t="str"/>
      <x:c r="G53" s="17" t="str"/>
      <x:c r="H53" s="17" t="n">
        <x:v>0</x:v>
      </x:c>
      <x:c r="I53" s="17" t="str"/>
      <x:c r="J53" s="17" t="str"/>
    </x:row>
  </x:sheetData>
  <x:mergeCells>
    <x:mergeCell ref="A1:J1"/>
  </x:mergeCells>
  <x:conditionalFormatting sqref="H14:H5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{6677AB70-1DE0-806C-3A6D-4D6DFA1EFF27}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e66383ab8b4de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77AB70-1DE0-806C-3A6D-4D6DFA1EFF27}">
            <x14:dataBar gradient="1">
              <x14:cfvo type="min"/>
              <x14:cfvo type="max"/>
              <x14:fillColor rgb="FFA02B93"/>
            </x14:dataBar>
          </x14:cfRule>
          <xm:sqref>H14:H53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18" hidden="0" customWidth="1"/>
    <x:col min="11" max="11" width="30" hidden="0" customWidth="1"/>
  </x:cols>
  <x:sheetData>
    <x:row r="1">
      <x:c r="A1" s="24" t="str">
        <x:v>ID Req.</x:v>
      </x:c>
      <x:c r="B1" s="24" t="str">
        <x:v>Etapa</x:v>
      </x:c>
      <x:c r="C1" s="24" t="str">
        <x:v>Actividad</x:v>
      </x:c>
      <x:c r="D1" s="24" t="str">
        <x:v>Plan Inicio</x:v>
      </x:c>
      <x:c r="E1" s="24" t="str">
        <x:v>Plan Fin</x:v>
      </x:c>
      <x:c r="F1" s="24" t="str">
        <x:v>Horas Plan</x:v>
      </x:c>
      <x:c r="G1" s="24" t="str">
        <x:v>Horas Ejecutadas</x:v>
      </x:c>
      <x:c r="H1" s="24" t="str">
        <x:v>Estado</x:v>
      </x:c>
      <x:c r="I1" s="24" t="str">
        <x:v>Evidencia / enlace</x:v>
      </x:c>
      <x:c r="J1" s="24" t="str">
        <x:v>Bloqueo</x:v>
      </x:c>
      <x:c r="K1" s="24" t="str">
        <x:v>Observaciones</x:v>
      </x:c>
    </x:row>
    <x:row r="2">
      <x:c r="A2" s="17" t="str">
        <x:v>RQ-001</x:v>
      </x:c>
      <x:c r="B2" s="17" t="str">
        <x:v>DEF</x:v>
      </x:c>
      <x:c r="C2" s="17" t="str">
        <x:v>Documentar definición funcional</x:v>
      </x:c>
      <x:c r="D2" s="18" t="n">
        <x:v>46293</x:v>
      </x:c>
      <x:c r="E2" s="18" t="n">
        <x:v>46294</x:v>
      </x:c>
      <x:c r="F2" s="17" t="n">
        <x:v>5</x:v>
      </x:c>
      <x:c r="G2" s="17" t="n">
        <x:v>2</x:v>
      </x:c>
      <x:c r="H2" s="17" t="str">
        <x:v>En curso</x:v>
      </x:c>
      <x:c r="I2" s="17" t="str"/>
      <x:c r="J2" s="17" t="str"/>
      <x:c r="K2" s="17" t="str"/>
    </x:row>
    <x:row r="3">
      <x:c r="A3" s="17" t="str">
        <x:v>RQ-001</x:v>
      </x:c>
      <x:c r="B3" s="17" t="str">
        <x:v>Historias</x:v>
      </x:c>
      <x:c r="C3" s="17" t="str">
        <x:v>Crear historias y criterios</x:v>
      </x:c>
      <x:c r="D3" s="18" t="n">
        <x:v>46294</x:v>
      </x:c>
      <x:c r="E3" s="18" t="n">
        <x:v>46294</x:v>
      </x:c>
      <x:c r="F3" s="17" t="n">
        <x:v>2</x:v>
      </x:c>
      <x:c r="G3" s="17" t="n">
        <x:v>0</x:v>
      </x:c>
      <x:c r="H3" s="17" t="str">
        <x:v>Pendiente</x:v>
      </x:c>
      <x:c r="I3" s="17" t="str"/>
      <x:c r="J3" s="17" t="str"/>
      <x:c r="K3" s="17" t="str"/>
    </x:row>
    <x:row r="4">
      <x:c r="A4" s="17" t="str">
        <x:v>RQ-001</x:v>
      </x:c>
      <x:c r="B4" s="17" t="str">
        <x:v>Desarrollo</x:v>
      </x:c>
      <x:c r="C4" s="17" t="str">
        <x:v>Implementar cambio</x:v>
      </x:c>
      <x:c r="D4" s="18" t="n">
        <x:v>46295</x:v>
      </x:c>
      <x:c r="E4" s="18" t="n">
        <x:v>46296</x:v>
      </x:c>
      <x:c r="F4" s="17" t="n">
        <x:v>6</x:v>
      </x:c>
      <x:c r="G4" s="17" t="n">
        <x:v>0</x:v>
      </x:c>
      <x:c r="H4" s="17" t="str">
        <x:v>Pendiente</x:v>
      </x:c>
      <x:c r="I4" s="17" t="str"/>
      <x:c r="J4" s="17" t="str"/>
      <x:c r="K4" s="17" t="str"/>
    </x:row>
    <x:row r="5">
      <x:c r="A5" s="17" t="str">
        <x:v>RQ-001</x:v>
      </x:c>
      <x:c r="B5" s="17" t="str">
        <x:v>Pruebas</x:v>
      </x:c>
      <x:c r="C5" s="17" t="str">
        <x:v>Ejecutar pruebas</x:v>
      </x:c>
      <x:c r="D5" s="18" t="n">
        <x:v>46297</x:v>
      </x:c>
      <x:c r="E5" s="18" t="n">
        <x:v>46297</x:v>
      </x:c>
      <x:c r="F5" s="17" t="n">
        <x:v>3</x:v>
      </x:c>
      <x:c r="G5" s="17" t="n">
        <x:v>0</x:v>
      </x:c>
      <x:c r="H5" s="17" t="str">
        <x:v>Pendiente</x:v>
      </x:c>
      <x:c r="I5" s="17" t="str"/>
      <x:c r="J5" s="17" t="str"/>
      <x:c r="K5" s="17" t="str"/>
    </x:row>
    <x:row r="6">
      <x:c r="A6" s="17" t="str">
        <x:v>RQ-002</x:v>
      </x:c>
      <x:c r="B6" s="17" t="str">
        <x:v>Historias</x:v>
      </x:c>
      <x:c r="C6" s="17" t="str">
        <x:v>Historias + aceptación</x:v>
      </x:c>
      <x:c r="D6" s="18" t="n">
        <x:v>46294</x:v>
      </x:c>
      <x:c r="E6" s="18" t="n">
        <x:v>46294</x:v>
      </x:c>
      <x:c r="F6" s="17" t="n">
        <x:v>2</x:v>
      </x:c>
      <x:c r="G6" s="17" t="n">
        <x:v>2</x:v>
      </x:c>
      <x:c r="H6" s="17" t="str">
        <x:v>Completado</x:v>
      </x:c>
      <x:c r="I6" s="17" t="str"/>
      <x:c r="J6" s="17" t="str"/>
      <x:c r="K6" s="17" t="str"/>
    </x:row>
    <x:row r="7">
      <x:c r="A7" s="17" t="str">
        <x:v>RQ-002</x:v>
      </x:c>
      <x:c r="B7" s="17" t="str">
        <x:v>Desarrollo</x:v>
      </x:c>
      <x:c r="C7" s="17" t="str">
        <x:v>Construcción reporte</x:v>
      </x:c>
      <x:c r="D7" s="18" t="n">
        <x:v>46295</x:v>
      </x:c>
      <x:c r="E7" s="18" t="n">
        <x:v>46296</x:v>
      </x:c>
      <x:c r="F7" s="17" t="n">
        <x:v>4</x:v>
      </x:c>
      <x:c r="G7" s="17" t="n">
        <x:v>1</x:v>
      </x:c>
      <x:c r="H7" s="17" t="str">
        <x:v>En curso</x:v>
      </x:c>
      <x:c r="I7" s="17" t="str"/>
      <x:c r="J7" s="17" t="str"/>
      <x:c r="K7" s="17" t="str"/>
    </x:row>
    <x:row r="8">
      <x:c r="A8" s="17" t="str">
        <x:v>RQ-003</x:v>
      </x:c>
      <x:c r="B8" s="17" t="str">
        <x:v>Desarrollo</x:v>
      </x:c>
      <x:c r="C8" s="17" t="str">
        <x:v>Cambio de flujo</x:v>
      </x:c>
      <x:c r="D8" s="18" t="n">
        <x:v>46295</x:v>
      </x:c>
      <x:c r="E8" s="18" t="n">
        <x:v>46301</x:v>
      </x:c>
      <x:c r="F8" s="17" t="n">
        <x:v>12</x:v>
      </x:c>
      <x:c r="G8" s="17" t="n">
        <x:v>6</x:v>
      </x:c>
      <x:c r="H8" s="17" t="str">
        <x:v>En curso</x:v>
      </x:c>
      <x:c r="I8" s="17" t="str"/>
      <x:c r="J8" s="17" t="str">
        <x:v>Negocio</x:v>
      </x:c>
      <x:c r="K8" s="17" t="str"/>
    </x:row>
    <x:row r="9">
      <x:c r="A9" s="17" t="str">
        <x:v>RQ-007</x:v>
      </x:c>
      <x:c r="B9" s="17" t="str">
        <x:v>Pruebas</x:v>
      </x:c>
      <x:c r="C9" s="17" t="str">
        <x:v>Regresión funcional</x:v>
      </x:c>
      <x:c r="D9" s="18" t="n">
        <x:v>46296</x:v>
      </x:c>
      <x:c r="E9" s="18" t="n">
        <x:v>46300</x:v>
      </x:c>
      <x:c r="F9" s="17" t="n">
        <x:v>5</x:v>
      </x:c>
      <x:c r="G9" s="17" t="n">
        <x:v>2</x:v>
      </x:c>
      <x:c r="H9" s="17" t="str">
        <x:v>En curso</x:v>
      </x:c>
      <x:c r="I9" s="17" t="str"/>
      <x:c r="J9" s="17" t="str"/>
      <x:c r="K9" s="17" t="str"/>
    </x:row>
    <x:row r="10">
      <x:c r="A10" s="17"/>
      <x:c r="B10" s="17"/>
      <x:c r="C10" s="17"/>
      <x:c r="D10" s="18"/>
      <x:c r="E10" s="18"/>
      <x:c r="F10" s="17"/>
      <x:c r="G10" s="17"/>
      <x:c r="H10" s="17"/>
      <x:c r="I10" s="17"/>
      <x:c r="J10" s="17"/>
      <x:c r="K10" s="17"/>
    </x:row>
    <x:row r="11">
      <x:c r="A11" s="17"/>
      <x:c r="B11" s="17"/>
      <x:c r="C11" s="17"/>
      <x:c r="D11" s="18"/>
      <x:c r="E11" s="18"/>
      <x:c r="F11" s="17"/>
      <x:c r="G11" s="17"/>
      <x:c r="H11" s="17"/>
      <x:c r="I11" s="17"/>
      <x:c r="J11" s="17"/>
      <x:c r="K11" s="17"/>
    </x:row>
    <x:row r="12">
      <x:c r="A12" s="17"/>
      <x:c r="B12" s="17"/>
      <x:c r="C12" s="17"/>
      <x:c r="D12" s="18"/>
      <x:c r="E12" s="18"/>
      <x:c r="F12" s="17"/>
      <x:c r="G12" s="17"/>
      <x:c r="H12" s="17"/>
      <x:c r="I12" s="17"/>
      <x:c r="J12" s="17"/>
      <x:c r="K12" s="17"/>
    </x:row>
    <x:row r="13">
      <x:c r="A13" s="17"/>
      <x:c r="B13" s="17"/>
      <x:c r="C13" s="17"/>
      <x:c r="D13" s="18"/>
      <x:c r="E13" s="18"/>
      <x:c r="F13" s="17"/>
      <x:c r="G13" s="17"/>
      <x:c r="H13" s="17"/>
      <x:c r="I13" s="17"/>
      <x:c r="J13" s="17"/>
      <x:c r="K13" s="17"/>
    </x:row>
    <x:row r="14">
      <x:c r="A14" s="17"/>
      <x:c r="B14" s="17"/>
      <x:c r="C14" s="17"/>
      <x:c r="D14" s="18"/>
      <x:c r="E14" s="18"/>
      <x:c r="F14" s="17"/>
      <x:c r="G14" s="17"/>
      <x:c r="H14" s="17"/>
      <x:c r="I14" s="17"/>
      <x:c r="J14" s="17"/>
      <x:c r="K14" s="17"/>
    </x:row>
    <x:row r="15">
      <x:c r="A15" s="17"/>
      <x:c r="B15" s="17"/>
      <x:c r="C15" s="17"/>
      <x:c r="D15" s="18"/>
      <x:c r="E15" s="18"/>
      <x:c r="F15" s="17"/>
      <x:c r="G15" s="17"/>
      <x:c r="H15" s="17"/>
      <x:c r="I15" s="17"/>
      <x:c r="J15" s="17"/>
      <x:c r="K15" s="17"/>
    </x:row>
    <x:row r="16">
      <x:c r="A16" s="17"/>
      <x:c r="B16" s="17"/>
      <x:c r="C16" s="17"/>
      <x:c r="D16" s="18"/>
      <x:c r="E16" s="18"/>
      <x:c r="F16" s="17"/>
      <x:c r="G16" s="17"/>
      <x:c r="H16" s="17"/>
      <x:c r="I16" s="17"/>
      <x:c r="J16" s="17"/>
      <x:c r="K16" s="17"/>
    </x:row>
    <x:row r="17">
      <x:c r="A17" s="17"/>
      <x:c r="B17" s="17"/>
      <x:c r="C17" s="17"/>
      <x:c r="D17" s="18"/>
      <x:c r="E17" s="18"/>
      <x:c r="F17" s="17"/>
      <x:c r="G17" s="17"/>
      <x:c r="H17" s="17"/>
      <x:c r="I17" s="17"/>
      <x:c r="J17" s="17"/>
      <x:c r="K17" s="17"/>
    </x:row>
    <x:row r="18">
      <x:c r="A18" s="17"/>
      <x:c r="B18" s="17"/>
      <x:c r="C18" s="17"/>
      <x:c r="D18" s="18"/>
      <x:c r="E18" s="18"/>
      <x:c r="F18" s="17"/>
      <x:c r="G18" s="17"/>
      <x:c r="H18" s="17"/>
      <x:c r="I18" s="17"/>
      <x:c r="J18" s="17"/>
      <x:c r="K18" s="17"/>
    </x:row>
    <x:row r="19">
      <x:c r="A19" s="17"/>
      <x:c r="B19" s="17"/>
      <x:c r="C19" s="17"/>
      <x:c r="D19" s="18"/>
      <x:c r="E19" s="18"/>
      <x:c r="F19" s="17"/>
      <x:c r="G19" s="17"/>
      <x:c r="H19" s="17"/>
      <x:c r="I19" s="17"/>
      <x:c r="J19" s="17"/>
      <x:c r="K19" s="17"/>
    </x:row>
    <x:row r="20">
      <x:c r="A20" s="17"/>
      <x:c r="B20" s="17"/>
      <x:c r="C20" s="17"/>
      <x:c r="D20" s="18"/>
      <x:c r="E20" s="18"/>
      <x:c r="F20" s="17"/>
      <x:c r="G20" s="17"/>
      <x:c r="H20" s="17"/>
      <x:c r="I20" s="17"/>
      <x:c r="J20" s="17"/>
      <x:c r="K20" s="17"/>
    </x:row>
    <x:row r="21">
      <x:c r="A21" s="17"/>
      <x:c r="B21" s="17"/>
      <x:c r="C21" s="17"/>
      <x:c r="D21" s="18"/>
      <x:c r="E21" s="18"/>
      <x:c r="F21" s="17"/>
      <x:c r="G21" s="17"/>
      <x:c r="H21" s="17"/>
      <x:c r="I21" s="17"/>
      <x:c r="J21" s="17"/>
      <x:c r="K21" s="17"/>
    </x:row>
    <x:row r="22">
      <x:c r="A22" s="17"/>
      <x:c r="B22" s="17"/>
      <x:c r="C22" s="17"/>
      <x:c r="D22" s="18"/>
      <x:c r="E22" s="18"/>
      <x:c r="F22" s="17"/>
      <x:c r="G22" s="17"/>
      <x:c r="H22" s="17"/>
      <x:c r="I22" s="17"/>
      <x:c r="J22" s="17"/>
      <x:c r="K22" s="17"/>
    </x:row>
    <x:row r="23">
      <x:c r="A23" s="17"/>
      <x:c r="B23" s="17"/>
      <x:c r="C23" s="17"/>
      <x:c r="D23" s="18"/>
      <x:c r="E23" s="18"/>
      <x:c r="F23" s="17"/>
      <x:c r="G23" s="17"/>
      <x:c r="H23" s="17"/>
      <x:c r="I23" s="17"/>
      <x:c r="J23" s="17"/>
      <x:c r="K23" s="17"/>
    </x:row>
    <x:row r="24">
      <x:c r="A24" s="17"/>
      <x:c r="B24" s="17"/>
      <x:c r="C24" s="17"/>
      <x:c r="D24" s="18"/>
      <x:c r="E24" s="18"/>
      <x:c r="F24" s="17"/>
      <x:c r="G24" s="17"/>
      <x:c r="H24" s="17"/>
      <x:c r="I24" s="17"/>
      <x:c r="J24" s="17"/>
      <x:c r="K24" s="17"/>
    </x:row>
    <x:row r="25">
      <x:c r="A25" s="17"/>
      <x:c r="B25" s="17"/>
      <x:c r="C25" s="17"/>
      <x:c r="D25" s="18"/>
      <x:c r="E25" s="18"/>
      <x:c r="F25" s="17"/>
      <x:c r="G25" s="17"/>
      <x:c r="H25" s="17"/>
      <x:c r="I25" s="17"/>
      <x:c r="J25" s="17"/>
      <x:c r="K25" s="17"/>
    </x:row>
    <x:row r="26">
      <x:c r="A26" s="17"/>
      <x:c r="B26" s="17"/>
      <x:c r="C26" s="17"/>
      <x:c r="D26" s="18"/>
      <x:c r="E26" s="18"/>
      <x:c r="F26" s="17"/>
      <x:c r="G26" s="17"/>
      <x:c r="H26" s="17"/>
      <x:c r="I26" s="17"/>
      <x:c r="J26" s="17"/>
      <x:c r="K26" s="17"/>
    </x:row>
    <x:row r="27">
      <x:c r="A27" s="17"/>
      <x:c r="B27" s="17"/>
      <x:c r="C27" s="17"/>
      <x:c r="D27" s="18"/>
      <x:c r="E27" s="18"/>
      <x:c r="F27" s="17"/>
      <x:c r="G27" s="17"/>
      <x:c r="H27" s="17"/>
      <x:c r="I27" s="17"/>
      <x:c r="J27" s="17"/>
      <x:c r="K27" s="17"/>
    </x:row>
    <x:row r="28">
      <x:c r="A28" s="17"/>
      <x:c r="B28" s="17"/>
      <x:c r="C28" s="17"/>
      <x:c r="D28" s="18"/>
      <x:c r="E28" s="18"/>
      <x:c r="F28" s="17"/>
      <x:c r="G28" s="17"/>
      <x:c r="H28" s="17"/>
      <x:c r="I28" s="17"/>
      <x:c r="J28" s="17"/>
      <x:c r="K28" s="17"/>
    </x:row>
    <x:row r="29">
      <x:c r="A29" s="17"/>
      <x:c r="B29" s="17"/>
      <x:c r="C29" s="17"/>
      <x:c r="D29" s="18"/>
      <x:c r="E29" s="18"/>
      <x:c r="F29" s="17"/>
      <x:c r="G29" s="17"/>
      <x:c r="H29" s="17"/>
      <x:c r="I29" s="17"/>
      <x:c r="J29" s="17"/>
      <x:c r="K29" s="17"/>
    </x:row>
    <x:row r="30">
      <x:c r="A30" s="17"/>
      <x:c r="B30" s="17"/>
      <x:c r="C30" s="17"/>
      <x:c r="D30" s="18"/>
      <x:c r="E30" s="18"/>
      <x:c r="F30" s="17"/>
      <x:c r="G30" s="17"/>
      <x:c r="H30" s="17"/>
      <x:c r="I30" s="17"/>
      <x:c r="J30" s="17"/>
      <x:c r="K30" s="17"/>
    </x:row>
    <x:row r="31">
      <x:c r="A31" s="17"/>
      <x:c r="B31" s="17"/>
      <x:c r="C31" s="17"/>
      <x:c r="D31" s="18"/>
      <x:c r="E31" s="18"/>
      <x:c r="F31" s="17"/>
      <x:c r="G31" s="17"/>
      <x:c r="H31" s="17"/>
      <x:c r="I31" s="17"/>
      <x:c r="J31" s="17"/>
      <x:c r="K31" s="17"/>
    </x:row>
    <x:row r="32">
      <x:c r="A32" s="17"/>
      <x:c r="B32" s="17"/>
      <x:c r="C32" s="17"/>
      <x:c r="D32" s="18"/>
      <x:c r="E32" s="18"/>
      <x:c r="F32" s="17"/>
      <x:c r="G32" s="17"/>
      <x:c r="H32" s="17"/>
      <x:c r="I32" s="17"/>
      <x:c r="J32" s="17"/>
      <x:c r="K32" s="17"/>
    </x:row>
    <x:row r="33">
      <x:c r="A33" s="17"/>
      <x:c r="B33" s="17"/>
      <x:c r="C33" s="17"/>
      <x:c r="D33" s="18"/>
      <x:c r="E33" s="18"/>
      <x:c r="F33" s="17"/>
      <x:c r="G33" s="17"/>
      <x:c r="H33" s="17"/>
      <x:c r="I33" s="17"/>
      <x:c r="J33" s="17"/>
      <x:c r="K33" s="17"/>
    </x:row>
    <x:row r="34">
      <x:c r="A34" s="17"/>
      <x:c r="B34" s="17"/>
      <x:c r="C34" s="17"/>
      <x:c r="D34" s="18"/>
      <x:c r="E34" s="18"/>
      <x:c r="F34" s="17"/>
      <x:c r="G34" s="17"/>
      <x:c r="H34" s="17"/>
      <x:c r="I34" s="17"/>
      <x:c r="J34" s="17"/>
      <x:c r="K34" s="17"/>
    </x:row>
    <x:row r="35">
      <x:c r="A35" s="17"/>
      <x:c r="B35" s="17"/>
      <x:c r="C35" s="17"/>
      <x:c r="D35" s="18"/>
      <x:c r="E35" s="18"/>
      <x:c r="F35" s="17"/>
      <x:c r="G35" s="17"/>
      <x:c r="H35" s="17"/>
      <x:c r="I35" s="17"/>
      <x:c r="J35" s="17"/>
      <x:c r="K35" s="17"/>
    </x:row>
    <x:row r="36">
      <x:c r="A36" s="17"/>
      <x:c r="B36" s="17"/>
      <x:c r="C36" s="17"/>
      <x:c r="D36" s="18"/>
      <x:c r="E36" s="18"/>
      <x:c r="F36" s="17"/>
      <x:c r="G36" s="17"/>
      <x:c r="H36" s="17"/>
      <x:c r="I36" s="17"/>
      <x:c r="J36" s="17"/>
      <x:c r="K36" s="17"/>
    </x:row>
    <x:row r="37">
      <x:c r="A37" s="17"/>
      <x:c r="B37" s="17"/>
      <x:c r="C37" s="17"/>
      <x:c r="D37" s="18"/>
      <x:c r="E37" s="18"/>
      <x:c r="F37" s="17"/>
      <x:c r="G37" s="17"/>
      <x:c r="H37" s="17"/>
      <x:c r="I37" s="17"/>
      <x:c r="J37" s="17"/>
      <x:c r="K37" s="17"/>
    </x:row>
    <x:row r="38">
      <x:c r="A38" s="17"/>
      <x:c r="B38" s="17"/>
      <x:c r="C38" s="17"/>
      <x:c r="D38" s="18"/>
      <x:c r="E38" s="18"/>
      <x:c r="F38" s="17"/>
      <x:c r="G38" s="17"/>
      <x:c r="H38" s="17"/>
      <x:c r="I38" s="17"/>
      <x:c r="J38" s="17"/>
      <x:c r="K38" s="17"/>
    </x:row>
    <x:row r="39">
      <x:c r="A39" s="17"/>
      <x:c r="B39" s="17"/>
      <x:c r="C39" s="17"/>
      <x:c r="D39" s="18"/>
      <x:c r="E39" s="18"/>
      <x:c r="F39" s="17"/>
      <x:c r="G39" s="17"/>
      <x:c r="H39" s="17"/>
      <x:c r="I39" s="17"/>
      <x:c r="J39" s="17"/>
      <x:c r="K39" s="17"/>
    </x:row>
    <x:row r="40">
      <x:c r="A40" s="17"/>
      <x:c r="B40" s="17"/>
      <x:c r="C40" s="17"/>
      <x:c r="D40" s="18"/>
      <x:c r="E40" s="18"/>
      <x:c r="F40" s="17"/>
      <x:c r="G40" s="17"/>
      <x:c r="H40" s="17"/>
      <x:c r="I40" s="17"/>
      <x:c r="J40" s="17"/>
      <x:c r="K40" s="17"/>
    </x:row>
    <x:row r="41">
      <x:c r="A41" s="17"/>
      <x:c r="B41" s="17"/>
      <x:c r="C41" s="17"/>
      <x:c r="D41" s="18"/>
      <x:c r="E41" s="18"/>
      <x:c r="F41" s="17"/>
      <x:c r="G41" s="17"/>
      <x:c r="H41" s="17"/>
      <x:c r="I41" s="17"/>
      <x:c r="J41" s="17"/>
      <x:c r="K41" s="17"/>
    </x:row>
    <x:row r="42">
      <x:c r="A42" s="17"/>
      <x:c r="B42" s="17"/>
      <x:c r="C42" s="17"/>
      <x:c r="D42" s="18"/>
      <x:c r="E42" s="18"/>
      <x:c r="F42" s="17"/>
      <x:c r="G42" s="17"/>
      <x:c r="H42" s="17"/>
      <x:c r="I42" s="17"/>
      <x:c r="J42" s="17"/>
      <x:c r="K42" s="17"/>
    </x:row>
    <x:row r="43">
      <x:c r="A43" s="17"/>
      <x:c r="B43" s="17"/>
      <x:c r="C43" s="17"/>
      <x:c r="D43" s="18"/>
      <x:c r="E43" s="18"/>
      <x:c r="F43" s="17"/>
      <x:c r="G43" s="17"/>
      <x:c r="H43" s="17"/>
      <x:c r="I43" s="17"/>
      <x:c r="J43" s="17"/>
      <x:c r="K43" s="17"/>
    </x:row>
    <x:row r="44">
      <x:c r="A44" s="17"/>
      <x:c r="B44" s="17"/>
      <x:c r="C44" s="17"/>
      <x:c r="D44" s="18"/>
      <x:c r="E44" s="18"/>
      <x:c r="F44" s="17"/>
      <x:c r="G44" s="17"/>
      <x:c r="H44" s="17"/>
      <x:c r="I44" s="17"/>
      <x:c r="J44" s="17"/>
      <x:c r="K44" s="17"/>
    </x:row>
    <x:row r="45">
      <x:c r="A45" s="17"/>
      <x:c r="B45" s="17"/>
      <x:c r="C45" s="17"/>
      <x:c r="D45" s="18"/>
      <x:c r="E45" s="18"/>
      <x:c r="F45" s="17"/>
      <x:c r="G45" s="17"/>
      <x:c r="H45" s="17"/>
      <x:c r="I45" s="17"/>
      <x:c r="J45" s="17"/>
      <x:c r="K45" s="17"/>
    </x:row>
    <x:row r="46">
      <x:c r="A46" s="17"/>
      <x:c r="B46" s="17"/>
      <x:c r="C46" s="17"/>
      <x:c r="D46" s="18"/>
      <x:c r="E46" s="18"/>
      <x:c r="F46" s="17"/>
      <x:c r="G46" s="17"/>
      <x:c r="H46" s="17"/>
      <x:c r="I46" s="17"/>
      <x:c r="J46" s="17"/>
      <x:c r="K46" s="17"/>
    </x:row>
    <x:row r="47">
      <x:c r="A47" s="17"/>
      <x:c r="B47" s="17"/>
      <x:c r="C47" s="17"/>
      <x:c r="D47" s="18"/>
      <x:c r="E47" s="18"/>
      <x:c r="F47" s="17"/>
      <x:c r="G47" s="17"/>
      <x:c r="H47" s="17"/>
      <x:c r="I47" s="17"/>
      <x:c r="J47" s="17"/>
      <x:c r="K47" s="17"/>
    </x:row>
    <x:row r="48">
      <x:c r="A48" s="17"/>
      <x:c r="B48" s="17"/>
      <x:c r="C48" s="17"/>
      <x:c r="D48" s="18"/>
      <x:c r="E48" s="18"/>
      <x:c r="F48" s="17"/>
      <x:c r="G48" s="17"/>
      <x:c r="H48" s="17"/>
      <x:c r="I48" s="17"/>
      <x:c r="J48" s="17"/>
      <x:c r="K48" s="17"/>
    </x:row>
    <x:row r="49">
      <x:c r="A49" s="17"/>
      <x:c r="B49" s="17"/>
      <x:c r="C49" s="17"/>
      <x:c r="D49" s="18"/>
      <x:c r="E49" s="18"/>
      <x:c r="F49" s="17"/>
      <x:c r="G49" s="17"/>
      <x:c r="H49" s="17"/>
      <x:c r="I49" s="17"/>
      <x:c r="J49" s="17"/>
      <x:c r="K49" s="17"/>
    </x:row>
    <x:row r="50">
      <x:c r="A50" s="17"/>
      <x:c r="B50" s="17"/>
      <x:c r="C50" s="17"/>
      <x:c r="D50" s="18"/>
      <x:c r="E50" s="18"/>
      <x:c r="F50" s="17"/>
      <x:c r="G50" s="17"/>
      <x:c r="H50" s="17"/>
      <x:c r="I50" s="17"/>
      <x:c r="J50" s="17"/>
      <x:c r="K50" s="17"/>
    </x:row>
    <x:row r="51">
      <x:c r="A51" s="17"/>
      <x:c r="B51" s="17"/>
      <x:c r="C51" s="17"/>
      <x:c r="D51" s="18"/>
      <x:c r="E51" s="18"/>
      <x:c r="F51" s="17"/>
      <x:c r="G51" s="17"/>
      <x:c r="H51" s="17"/>
      <x:c r="I51" s="17"/>
      <x:c r="J51" s="17"/>
      <x:c r="K51" s="17"/>
    </x:row>
    <x:row r="52">
      <x:c r="A52" s="17"/>
      <x:c r="B52" s="17"/>
      <x:c r="C52" s="17"/>
      <x:c r="D52" s="18"/>
      <x:c r="E52" s="18"/>
      <x:c r="F52" s="17"/>
      <x:c r="G52" s="17"/>
      <x:c r="H52" s="17"/>
      <x:c r="I52" s="17"/>
      <x:c r="J52" s="17"/>
      <x:c r="K52" s="17"/>
    </x:row>
    <x:row r="53">
      <x:c r="A53" s="17"/>
      <x:c r="B53" s="17"/>
      <x:c r="C53" s="17"/>
      <x:c r="D53" s="18"/>
      <x:c r="E53" s="18"/>
      <x:c r="F53" s="17"/>
      <x:c r="G53" s="17"/>
      <x:c r="H53" s="17"/>
      <x:c r="I53" s="17"/>
      <x:c r="J53" s="17"/>
      <x:c r="K53" s="17"/>
    </x:row>
    <x:row r="54">
      <x:c r="A54" s="17"/>
      <x:c r="B54" s="17"/>
      <x:c r="C54" s="17"/>
      <x:c r="D54" s="18"/>
      <x:c r="E54" s="18"/>
      <x:c r="F54" s="17"/>
      <x:c r="G54" s="17"/>
      <x:c r="H54" s="17"/>
      <x:c r="I54" s="17"/>
      <x:c r="J54" s="17"/>
      <x:c r="K54" s="17"/>
    </x:row>
    <x:row r="55">
      <x:c r="A55" s="17"/>
      <x:c r="B55" s="17"/>
      <x:c r="C55" s="17"/>
      <x:c r="D55" s="18"/>
      <x:c r="E55" s="18"/>
      <x:c r="F55" s="17"/>
      <x:c r="G55" s="17"/>
      <x:c r="H55" s="17"/>
      <x:c r="I55" s="17"/>
      <x:c r="J55" s="17"/>
      <x:c r="K55" s="17"/>
    </x:row>
    <x:row r="56">
      <x:c r="A56" s="17"/>
      <x:c r="B56" s="17"/>
      <x:c r="C56" s="17"/>
      <x:c r="D56" s="18"/>
      <x:c r="E56" s="18"/>
      <x:c r="F56" s="17"/>
      <x:c r="G56" s="17"/>
      <x:c r="H56" s="17"/>
      <x:c r="I56" s="17"/>
      <x:c r="J56" s="17"/>
      <x:c r="K56" s="17"/>
    </x:row>
    <x:row r="57">
      <x:c r="A57" s="17"/>
      <x:c r="B57" s="17"/>
      <x:c r="C57" s="17"/>
      <x:c r="D57" s="18"/>
      <x:c r="E57" s="18"/>
      <x:c r="F57" s="17"/>
      <x:c r="G57" s="17"/>
      <x:c r="H57" s="17"/>
      <x:c r="I57" s="17"/>
      <x:c r="J57" s="17"/>
      <x:c r="K57" s="17"/>
    </x:row>
    <x:row r="58">
      <x:c r="A58" s="17"/>
      <x:c r="B58" s="17"/>
      <x:c r="C58" s="17"/>
      <x:c r="D58" s="18"/>
      <x:c r="E58" s="18"/>
      <x:c r="F58" s="17"/>
      <x:c r="G58" s="17"/>
      <x:c r="H58" s="17"/>
      <x:c r="I58" s="17"/>
      <x:c r="J58" s="17"/>
      <x:c r="K58" s="17"/>
    </x:row>
    <x:row r="59">
      <x:c r="A59" s="17"/>
      <x:c r="B59" s="17"/>
      <x:c r="C59" s="17"/>
      <x:c r="D59" s="18"/>
      <x:c r="E59" s="18"/>
      <x:c r="F59" s="17"/>
      <x:c r="G59" s="17"/>
      <x:c r="H59" s="17"/>
      <x:c r="I59" s="17"/>
      <x:c r="J59" s="17"/>
      <x:c r="K59" s="17"/>
    </x:row>
    <x:row r="60">
      <x:c r="A60" s="17"/>
      <x:c r="B60" s="17"/>
      <x:c r="C60" s="17"/>
      <x:c r="D60" s="18"/>
      <x:c r="E60" s="18"/>
      <x:c r="F60" s="17"/>
      <x:c r="G60" s="17"/>
      <x:c r="H60" s="17"/>
      <x:c r="I60" s="17"/>
      <x:c r="J60" s="17"/>
      <x:c r="K60" s="17"/>
    </x:row>
    <x:row r="61">
      <x:c r="A61" s="17"/>
      <x:c r="B61" s="17"/>
      <x:c r="C61" s="17"/>
      <x:c r="D61" s="18"/>
      <x:c r="E61" s="18"/>
      <x:c r="F61" s="17"/>
      <x:c r="G61" s="17"/>
      <x:c r="H61" s="17"/>
      <x:c r="I61" s="17"/>
      <x:c r="J61" s="17"/>
      <x:c r="K61" s="17"/>
    </x:row>
    <x:row r="62">
      <x:c r="A62" s="17"/>
      <x:c r="B62" s="17"/>
      <x:c r="C62" s="17"/>
      <x:c r="D62" s="18"/>
      <x:c r="E62" s="18"/>
      <x:c r="F62" s="17"/>
      <x:c r="G62" s="17"/>
      <x:c r="H62" s="17"/>
      <x:c r="I62" s="17"/>
      <x:c r="J62" s="17"/>
      <x:c r="K62" s="17"/>
    </x:row>
    <x:row r="63">
      <x:c r="A63" s="17"/>
      <x:c r="B63" s="17"/>
      <x:c r="C63" s="17"/>
      <x:c r="D63" s="18"/>
      <x:c r="E63" s="18"/>
      <x:c r="F63" s="17"/>
      <x:c r="G63" s="17"/>
      <x:c r="H63" s="17"/>
      <x:c r="I63" s="17"/>
      <x:c r="J63" s="17"/>
      <x:c r="K63" s="17"/>
    </x:row>
    <x:row r="64">
      <x:c r="A64" s="17"/>
      <x:c r="B64" s="17"/>
      <x:c r="C64" s="17"/>
      <x:c r="D64" s="18"/>
      <x:c r="E64" s="18"/>
      <x:c r="F64" s="17"/>
      <x:c r="G64" s="17"/>
      <x:c r="H64" s="17"/>
      <x:c r="I64" s="17"/>
      <x:c r="J64" s="17"/>
      <x:c r="K64" s="17"/>
    </x:row>
    <x:row r="65">
      <x:c r="A65" s="17"/>
      <x:c r="B65" s="17"/>
      <x:c r="C65" s="17"/>
      <x:c r="D65" s="18"/>
      <x:c r="E65" s="18"/>
      <x:c r="F65" s="17"/>
      <x:c r="G65" s="17"/>
      <x:c r="H65" s="17"/>
      <x:c r="I65" s="17"/>
      <x:c r="J65" s="17"/>
      <x:c r="K65" s="17"/>
    </x:row>
    <x:row r="66">
      <x:c r="A66" s="17"/>
      <x:c r="B66" s="17"/>
      <x:c r="C66" s="17"/>
      <x:c r="D66" s="18"/>
      <x:c r="E66" s="18"/>
      <x:c r="F66" s="17"/>
      <x:c r="G66" s="17"/>
      <x:c r="H66" s="17"/>
      <x:c r="I66" s="17"/>
      <x:c r="J66" s="17"/>
      <x:c r="K66" s="17"/>
    </x:row>
    <x:row r="67">
      <x:c r="A67" s="17"/>
      <x:c r="B67" s="17"/>
      <x:c r="C67" s="17"/>
      <x:c r="D67" s="18"/>
      <x:c r="E67" s="18"/>
      <x:c r="F67" s="17"/>
      <x:c r="G67" s="17"/>
      <x:c r="H67" s="17"/>
      <x:c r="I67" s="17"/>
      <x:c r="J67" s="17"/>
      <x:c r="K67" s="17"/>
    </x:row>
    <x:row r="68">
      <x:c r="A68" s="17"/>
      <x:c r="B68" s="17"/>
      <x:c r="C68" s="17"/>
      <x:c r="D68" s="18"/>
      <x:c r="E68" s="18"/>
      <x:c r="F68" s="17"/>
      <x:c r="G68" s="17"/>
      <x:c r="H68" s="17"/>
      <x:c r="I68" s="17"/>
      <x:c r="J68" s="17"/>
      <x:c r="K68" s="17"/>
    </x:row>
    <x:row r="69">
      <x:c r="A69" s="17"/>
      <x:c r="B69" s="17"/>
      <x:c r="C69" s="17"/>
      <x:c r="D69" s="18"/>
      <x:c r="E69" s="18"/>
      <x:c r="F69" s="17"/>
      <x:c r="G69" s="17"/>
      <x:c r="H69" s="17"/>
      <x:c r="I69" s="17"/>
      <x:c r="J69" s="17"/>
      <x:c r="K69" s="17"/>
    </x:row>
    <x:row r="70">
      <x:c r="A70" s="17"/>
      <x:c r="B70" s="17"/>
      <x:c r="C70" s="17"/>
      <x:c r="D70" s="18"/>
      <x:c r="E70" s="18"/>
      <x:c r="F70" s="17"/>
      <x:c r="G70" s="17"/>
      <x:c r="H70" s="17"/>
      <x:c r="I70" s="17"/>
      <x:c r="J70" s="17"/>
      <x:c r="K70" s="17"/>
    </x:row>
    <x:row r="71">
      <x:c r="A71" s="17"/>
      <x:c r="B71" s="17"/>
      <x:c r="C71" s="17"/>
      <x:c r="D71" s="18"/>
      <x:c r="E71" s="18"/>
      <x:c r="F71" s="17"/>
      <x:c r="G71" s="17"/>
      <x:c r="H71" s="17"/>
      <x:c r="I71" s="17"/>
      <x:c r="J71" s="17"/>
      <x:c r="K71" s="17"/>
    </x:row>
    <x:row r="72">
      <x:c r="A72" s="17"/>
      <x:c r="B72" s="17"/>
      <x:c r="C72" s="17"/>
      <x:c r="D72" s="18"/>
      <x:c r="E72" s="18"/>
      <x:c r="F72" s="17"/>
      <x:c r="G72" s="17"/>
      <x:c r="H72" s="17"/>
      <x:c r="I72" s="17"/>
      <x:c r="J72" s="17"/>
      <x:c r="K72" s="17"/>
    </x:row>
    <x:row r="73">
      <x:c r="A73" s="17"/>
      <x:c r="B73" s="17"/>
      <x:c r="C73" s="17"/>
      <x:c r="D73" s="18"/>
      <x:c r="E73" s="18"/>
      <x:c r="F73" s="17"/>
      <x:c r="G73" s="17"/>
      <x:c r="H73" s="17"/>
      <x:c r="I73" s="17"/>
      <x:c r="J73" s="17"/>
      <x:c r="K73" s="17"/>
    </x:row>
    <x:row r="74">
      <x:c r="A74" s="17"/>
      <x:c r="B74" s="17"/>
      <x:c r="C74" s="17"/>
      <x:c r="D74" s="18"/>
      <x:c r="E74" s="18"/>
      <x:c r="F74" s="17"/>
      <x:c r="G74" s="17"/>
      <x:c r="H74" s="17"/>
      <x:c r="I74" s="17"/>
      <x:c r="J74" s="17"/>
      <x:c r="K74" s="17"/>
    </x:row>
    <x:row r="75">
      <x:c r="A75" s="17"/>
      <x:c r="B75" s="17"/>
      <x:c r="C75" s="17"/>
      <x:c r="D75" s="18"/>
      <x:c r="E75" s="18"/>
      <x:c r="F75" s="17"/>
      <x:c r="G75" s="17"/>
      <x:c r="H75" s="17"/>
      <x:c r="I75" s="17"/>
      <x:c r="J75" s="17"/>
      <x:c r="K75" s="17"/>
    </x:row>
    <x:row r="76">
      <x:c r="A76" s="17"/>
      <x:c r="B76" s="17"/>
      <x:c r="C76" s="17"/>
      <x:c r="D76" s="18"/>
      <x:c r="E76" s="18"/>
      <x:c r="F76" s="17"/>
      <x:c r="G76" s="17"/>
      <x:c r="H76" s="17"/>
      <x:c r="I76" s="17"/>
      <x:c r="J76" s="17"/>
      <x:c r="K76" s="17"/>
    </x:row>
    <x:row r="77">
      <x:c r="A77" s="17"/>
      <x:c r="B77" s="17"/>
      <x:c r="C77" s="17"/>
      <x:c r="D77" s="18"/>
      <x:c r="E77" s="18"/>
      <x:c r="F77" s="17"/>
      <x:c r="G77" s="17"/>
      <x:c r="H77" s="17"/>
      <x:c r="I77" s="17"/>
      <x:c r="J77" s="17"/>
      <x:c r="K77" s="17"/>
    </x:row>
    <x:row r="78">
      <x:c r="A78" s="17"/>
      <x:c r="B78" s="17"/>
      <x:c r="C78" s="17"/>
      <x:c r="D78" s="18"/>
      <x:c r="E78" s="18"/>
      <x:c r="F78" s="17"/>
      <x:c r="G78" s="17"/>
      <x:c r="H78" s="17"/>
      <x:c r="I78" s="17"/>
      <x:c r="J78" s="17"/>
      <x:c r="K78" s="17"/>
    </x:row>
    <x:row r="79">
      <x:c r="A79" s="17"/>
      <x:c r="B79" s="17"/>
      <x:c r="C79" s="17"/>
      <x:c r="D79" s="18"/>
      <x:c r="E79" s="18"/>
      <x:c r="F79" s="17"/>
      <x:c r="G79" s="17"/>
      <x:c r="H79" s="17"/>
      <x:c r="I79" s="17"/>
      <x:c r="J79" s="17"/>
      <x:c r="K79" s="17"/>
    </x:row>
    <x:row r="80">
      <x:c r="A80" s="17"/>
      <x:c r="B80" s="17"/>
      <x:c r="C80" s="17"/>
      <x:c r="D80" s="18"/>
      <x:c r="E80" s="18"/>
      <x:c r="F80" s="17"/>
      <x:c r="G80" s="17"/>
      <x:c r="H80" s="17"/>
      <x:c r="I80" s="17"/>
      <x:c r="J80" s="17"/>
      <x:c r="K80" s="17"/>
    </x:row>
    <x:row r="81">
      <x:c r="A81" s="17"/>
      <x:c r="B81" s="17"/>
      <x:c r="C81" s="17"/>
      <x:c r="D81" s="18"/>
      <x:c r="E81" s="18"/>
      <x:c r="F81" s="17"/>
      <x:c r="G81" s="17"/>
      <x:c r="H81" s="17"/>
      <x:c r="I81" s="17"/>
      <x:c r="J81" s="17"/>
      <x:c r="K81" s="17"/>
    </x:row>
    <x:row r="82">
      <x:c r="A82" s="17"/>
      <x:c r="B82" s="17"/>
      <x:c r="C82" s="17"/>
      <x:c r="D82" s="18"/>
      <x:c r="E82" s="18"/>
      <x:c r="F82" s="17"/>
      <x:c r="G82" s="17"/>
      <x:c r="H82" s="17"/>
      <x:c r="I82" s="17"/>
      <x:c r="J82" s="17"/>
      <x:c r="K82" s="17"/>
    </x:row>
    <x:row r="83">
      <x:c r="A83" s="17"/>
      <x:c r="B83" s="17"/>
      <x:c r="C83" s="17"/>
      <x:c r="D83" s="18"/>
      <x:c r="E83" s="18"/>
      <x:c r="F83" s="17"/>
      <x:c r="G83" s="17"/>
      <x:c r="H83" s="17"/>
      <x:c r="I83" s="17"/>
      <x:c r="J83" s="17"/>
      <x:c r="K83" s="17"/>
    </x:row>
    <x:row r="84">
      <x:c r="A84" s="17"/>
      <x:c r="B84" s="17"/>
      <x:c r="C84" s="17"/>
      <x:c r="D84" s="18"/>
      <x:c r="E84" s="18"/>
      <x:c r="F84" s="17"/>
      <x:c r="G84" s="17"/>
      <x:c r="H84" s="17"/>
      <x:c r="I84" s="17"/>
      <x:c r="J84" s="17"/>
      <x:c r="K84" s="17"/>
    </x:row>
    <x:row r="85">
      <x:c r="A85" s="17"/>
      <x:c r="B85" s="17"/>
      <x:c r="C85" s="17"/>
      <x:c r="D85" s="18"/>
      <x:c r="E85" s="18"/>
      <x:c r="F85" s="17"/>
      <x:c r="G85" s="17"/>
      <x:c r="H85" s="17"/>
      <x:c r="I85" s="17"/>
      <x:c r="J85" s="17"/>
      <x:c r="K85" s="17"/>
    </x:row>
    <x:row r="86">
      <x:c r="A86" s="17"/>
      <x:c r="B86" s="17"/>
      <x:c r="C86" s="17"/>
      <x:c r="D86" s="18"/>
      <x:c r="E86" s="18"/>
      <x:c r="F86" s="17"/>
      <x:c r="G86" s="17"/>
      <x:c r="H86" s="17"/>
      <x:c r="I86" s="17"/>
      <x:c r="J86" s="17"/>
      <x:c r="K86" s="17"/>
    </x:row>
    <x:row r="87">
      <x:c r="A87" s="17"/>
      <x:c r="B87" s="17"/>
      <x:c r="C87" s="17"/>
      <x:c r="D87" s="18"/>
      <x:c r="E87" s="18"/>
      <x:c r="F87" s="17"/>
      <x:c r="G87" s="17"/>
      <x:c r="H87" s="17"/>
      <x:c r="I87" s="17"/>
      <x:c r="J87" s="17"/>
      <x:c r="K87" s="17"/>
    </x:row>
    <x:row r="88">
      <x:c r="A88" s="17"/>
      <x:c r="B88" s="17"/>
      <x:c r="C88" s="17"/>
      <x:c r="D88" s="18"/>
      <x:c r="E88" s="18"/>
      <x:c r="F88" s="17"/>
      <x:c r="G88" s="17"/>
      <x:c r="H88" s="17"/>
      <x:c r="I88" s="17"/>
      <x:c r="J88" s="17"/>
      <x:c r="K88" s="17"/>
    </x:row>
    <x:row r="89">
      <x:c r="A89" s="17"/>
      <x:c r="B89" s="17"/>
      <x:c r="C89" s="17"/>
      <x:c r="D89" s="18"/>
      <x:c r="E89" s="18"/>
      <x:c r="F89" s="17"/>
      <x:c r="G89" s="17"/>
      <x:c r="H89" s="17"/>
      <x:c r="I89" s="17"/>
      <x:c r="J89" s="17"/>
      <x:c r="K89" s="17"/>
    </x:row>
    <x:row r="90">
      <x:c r="A90" s="17"/>
      <x:c r="B90" s="17"/>
      <x:c r="C90" s="17"/>
      <x:c r="D90" s="18"/>
      <x:c r="E90" s="18"/>
      <x:c r="F90" s="17"/>
      <x:c r="G90" s="17"/>
      <x:c r="H90" s="17"/>
      <x:c r="I90" s="17"/>
      <x:c r="J90" s="17"/>
      <x:c r="K90" s="17"/>
    </x:row>
    <x:row r="91">
      <x:c r="A91" s="17"/>
      <x:c r="B91" s="17"/>
      <x:c r="C91" s="17"/>
      <x:c r="D91" s="18"/>
      <x:c r="E91" s="18"/>
      <x:c r="F91" s="17"/>
      <x:c r="G91" s="17"/>
      <x:c r="H91" s="17"/>
      <x:c r="I91" s="17"/>
      <x:c r="J91" s="17"/>
      <x:c r="K91" s="17"/>
    </x:row>
    <x:row r="92">
      <x:c r="A92" s="17"/>
      <x:c r="B92" s="17"/>
      <x:c r="C92" s="17"/>
      <x:c r="D92" s="18"/>
      <x:c r="E92" s="18"/>
      <x:c r="F92" s="17"/>
      <x:c r="G92" s="17"/>
      <x:c r="H92" s="17"/>
      <x:c r="I92" s="17"/>
      <x:c r="J92" s="17"/>
      <x:c r="K92" s="17"/>
    </x:row>
    <x:row r="93">
      <x:c r="A93" s="17"/>
      <x:c r="B93" s="17"/>
      <x:c r="C93" s="17"/>
      <x:c r="D93" s="18"/>
      <x:c r="E93" s="18"/>
      <x:c r="F93" s="17"/>
      <x:c r="G93" s="17"/>
      <x:c r="H93" s="17"/>
      <x:c r="I93" s="17"/>
      <x:c r="J93" s="17"/>
      <x:c r="K93" s="17"/>
    </x:row>
    <x:row r="94">
      <x:c r="A94" s="17"/>
      <x:c r="B94" s="17"/>
      <x:c r="C94" s="17"/>
      <x:c r="D94" s="18"/>
      <x:c r="E94" s="18"/>
      <x:c r="F94" s="17"/>
      <x:c r="G94" s="17"/>
      <x:c r="H94" s="17"/>
      <x:c r="I94" s="17"/>
      <x:c r="J94" s="17"/>
      <x:c r="K94" s="17"/>
    </x:row>
    <x:row r="95">
      <x:c r="A95" s="17"/>
      <x:c r="B95" s="17"/>
      <x:c r="C95" s="17"/>
      <x:c r="D95" s="18"/>
      <x:c r="E95" s="18"/>
      <x:c r="F95" s="17"/>
      <x:c r="G95" s="17"/>
      <x:c r="H95" s="17"/>
      <x:c r="I95" s="17"/>
      <x:c r="J95" s="17"/>
      <x:c r="K95" s="17"/>
    </x:row>
    <x:row r="96">
      <x:c r="A96" s="17"/>
      <x:c r="B96" s="17"/>
      <x:c r="C96" s="17"/>
      <x:c r="D96" s="18"/>
      <x:c r="E96" s="18"/>
      <x:c r="F96" s="17"/>
      <x:c r="G96" s="17"/>
      <x:c r="H96" s="17"/>
      <x:c r="I96" s="17"/>
      <x:c r="J96" s="17"/>
      <x:c r="K96" s="17"/>
    </x:row>
    <x:row r="97">
      <x:c r="A97" s="17"/>
      <x:c r="B97" s="17"/>
      <x:c r="C97" s="17"/>
      <x:c r="D97" s="18"/>
      <x:c r="E97" s="18"/>
      <x:c r="F97" s="17"/>
      <x:c r="G97" s="17"/>
      <x:c r="H97" s="17"/>
      <x:c r="I97" s="17"/>
      <x:c r="J97" s="17"/>
      <x:c r="K97" s="17"/>
    </x:row>
    <x:row r="98">
      <x:c r="A98" s="17"/>
      <x:c r="B98" s="17"/>
      <x:c r="C98" s="17"/>
      <x:c r="D98" s="18"/>
      <x:c r="E98" s="18"/>
      <x:c r="F98" s="17"/>
      <x:c r="G98" s="17"/>
      <x:c r="H98" s="17"/>
      <x:c r="I98" s="17"/>
      <x:c r="J98" s="17"/>
      <x:c r="K98" s="17"/>
    </x:row>
    <x:row r="99">
      <x:c r="A99" s="17"/>
      <x:c r="B99" s="17"/>
      <x:c r="C99" s="17"/>
      <x:c r="D99" s="18"/>
      <x:c r="E99" s="18"/>
      <x:c r="F99" s="17"/>
      <x:c r="G99" s="17"/>
      <x:c r="H99" s="17"/>
      <x:c r="I99" s="17"/>
      <x:c r="J99" s="17"/>
      <x:c r="K99" s="17"/>
    </x:row>
    <x:row r="100">
      <x:c r="A100" s="17"/>
      <x:c r="B100" s="17"/>
      <x:c r="C100" s="17"/>
      <x:c r="D100" s="18"/>
      <x:c r="E100" s="18"/>
      <x:c r="F100" s="17"/>
      <x:c r="G100" s="17"/>
      <x:c r="H100" s="17"/>
      <x:c r="I100" s="17"/>
      <x:c r="J100" s="17"/>
      <x:c r="K100" s="17"/>
    </x:row>
  </x:sheetData>
  <x:conditionalFormatting sqref="H2:H100">
    <x:cfRule type="expression" dxfId="3" priority="1">
      <x:formula>H2="Bloqueado"</x:formula>
    </x:cfRule>
    <x:cfRule type="expression" dxfId="4" priority="2">
      <x:formula>H2="Completado"</x:formula>
    </x:cfRule>
  </x:conditionalFormatting>
  <x:dataValidations count="1">
    <x:dataValidation type="list" sqref="H2:H100">
      <x:formula1>"Pendiente,En curso,Completado,Bloqueado"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4ba6c3ec5c45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22" hidden="0" customWidth="1"/>
    <x:col min="7" max="7" width="24" hidden="0" customWidth="1"/>
    <x:col min="8" max="8" width="16" hidden="0" customWidth="1"/>
  </x:cols>
  <x:sheetData>
    <x:row r="1">
      <x:c r="A1" s="27" t="str">
        <x:v>CAPACIDAD Y COMPROMISOS</x:v>
      </x:c>
    </x:row>
    <x:row r="3">
      <x:c r="A3" s="24" t="str">
        <x:v>Semana</x:v>
      </x:c>
      <x:c r="B3" s="24" t="str">
        <x:v>Inicio</x:v>
      </x:c>
      <x:c r="C3" s="24" t="str">
        <x:v>Fin</x:v>
      </x:c>
      <x:c r="D3" s="24" t="str">
        <x:v>Capacidad total</x:v>
      </x:c>
      <x:c r="E3" s="24" t="str">
        <x:v>Horas requerimientos</x:v>
      </x:c>
      <x:c r="F3" s="24" t="str">
        <x:v>Horas otros proyectos</x:v>
      </x:c>
      <x:c r="G3" s="24" t="str">
        <x:v>Reuniones + contingencia</x:v>
      </x:c>
      <x:c r="H3" s="24" t="str">
        <x:v>Capacidad libre</x:v>
      </x:c>
    </x:row>
    <x:row r="4">
      <x:c r="A4" t="n">
        <x:v>1</x:v>
      </x:c>
      <x:c r="B4" s="12" t="n">
        <x:v>46293</x:v>
      </x:c>
      <x:c r="C4" s="12" t="n">
        <x:v>46297</x:v>
      </x:c>
      <x:c r="D4" t="n">
        <x:v>40</x:v>
      </x:c>
      <x:c r="E4" t="n">
        <x:v>20</x:v>
      </x:c>
      <x:c r="F4" t="n">
        <x:v>12</x:v>
      </x:c>
      <x:c r="G4" t="n">
        <x:v>8</x:v>
      </x:c>
      <x:c r="H4" t="n">
        <x:f>D4-E4-F4-G4</x:f>
        <x:v>0</x:v>
      </x:c>
    </x:row>
    <x:row r="5">
      <x:c r="A5" t="n">
        <x:v>2</x:v>
      </x:c>
      <x:c r="B5" s="12" t="n">
        <x:v>46300</x:v>
      </x:c>
      <x:c r="C5" s="12" t="n">
        <x:v>46304</x:v>
      </x:c>
      <x:c r="D5" t="n">
        <x:v>40</x:v>
      </x:c>
      <x:c r="E5" t="n">
        <x:v>20</x:v>
      </x:c>
      <x:c r="F5" t="n">
        <x:v>12</x:v>
      </x:c>
      <x:c r="G5" t="n">
        <x:v>8</x:v>
      </x:c>
      <x:c r="H5" t="n">
        <x:f>D5-E5-F5-G5</x:f>
        <x:v>0</x:v>
      </x:c>
    </x:row>
    <x:row r="6">
      <x:c r="A6" t="n">
        <x:v>3</x:v>
      </x:c>
      <x:c r="B6" s="12" t="n">
        <x:v>46307</x:v>
      </x:c>
      <x:c r="C6" s="12" t="n">
        <x:v>46311</x:v>
      </x:c>
      <x:c r="D6" t="n">
        <x:v>40</x:v>
      </x:c>
      <x:c r="E6" t="n">
        <x:v>20</x:v>
      </x:c>
      <x:c r="F6" t="n">
        <x:v>12</x:v>
      </x:c>
      <x:c r="G6" t="n">
        <x:v>8</x:v>
      </x:c>
      <x:c r="H6" t="n">
        <x:f>D6-E6-F6-G6</x:f>
        <x:v>0</x:v>
      </x:c>
    </x:row>
    <x:row r="7">
      <x:c r="A7" t="n">
        <x:v>4</x:v>
      </x:c>
      <x:c r="B7" s="12" t="n">
        <x:v>46314</x:v>
      </x:c>
      <x:c r="C7" s="12" t="n">
        <x:v>46318</x:v>
      </x:c>
      <x:c r="D7" t="n">
        <x:v>40</x:v>
      </x:c>
      <x:c r="E7" t="n">
        <x:v>20</x:v>
      </x:c>
      <x:c r="F7" t="n">
        <x:v>12</x:v>
      </x:c>
      <x:c r="G7" t="n">
        <x:v>8</x:v>
      </x:c>
      <x:c r="H7" t="n">
        <x:f>D7-E7-F7-G7</x:f>
        <x:v>0</x:v>
      </x:c>
    </x:row>
    <x:row r="8">
      <x:c r="A8" t="n">
        <x:v>5</x:v>
      </x:c>
      <x:c r="B8" s="12" t="n">
        <x:v>46321</x:v>
      </x:c>
      <x:c r="C8" s="12" t="n">
        <x:v>46325</x:v>
      </x:c>
      <x:c r="D8" t="n">
        <x:v>40</x:v>
      </x:c>
      <x:c r="E8" t="n">
        <x:v>20</x:v>
      </x:c>
      <x:c r="F8" t="n">
        <x:v>12</x:v>
      </x:c>
      <x:c r="G8" t="n">
        <x:v>8</x:v>
      </x:c>
      <x:c r="H8" t="n">
        <x:f>D8-E8-F8-G8</x:f>
        <x:v>0</x:v>
      </x:c>
    </x:row>
    <x:row r="9">
      <x:c r="A9" t="n">
        <x:v>6</x:v>
      </x:c>
      <x:c r="B9" s="12" t="n">
        <x:v>46328</x:v>
      </x:c>
      <x:c r="C9" s="12" t="n">
        <x:v>46332</x:v>
      </x:c>
      <x:c r="D9" t="n">
        <x:v>40</x:v>
      </x:c>
      <x:c r="E9" t="n">
        <x:v>20</x:v>
      </x:c>
      <x:c r="F9" t="n">
        <x:v>12</x:v>
      </x:c>
      <x:c r="G9" t="n">
        <x:v>8</x:v>
      </x:c>
      <x:c r="H9" t="n">
        <x:f>D9-E9-F9-G9</x:f>
        <x:v>0</x:v>
      </x:c>
    </x:row>
    <x:row r="10">
      <x:c r="A10" t="n">
        <x:v>7</x:v>
      </x:c>
      <x:c r="B10" s="12" t="n">
        <x:v>46335</x:v>
      </x:c>
      <x:c r="C10" s="12" t="n">
        <x:v>46339</x:v>
      </x:c>
      <x:c r="D10" t="n">
        <x:v>40</x:v>
      </x:c>
      <x:c r="E10" t="n">
        <x:v>20</x:v>
      </x:c>
      <x:c r="F10" t="n">
        <x:v>12</x:v>
      </x:c>
      <x:c r="G10" t="n">
        <x:v>8</x:v>
      </x:c>
      <x:c r="H10" t="n">
        <x:f>D10-E10-F10-G10</x:f>
        <x:v>0</x:v>
      </x:c>
    </x:row>
    <x:row r="11">
      <x:c r="A11" t="n">
        <x:v>8</x:v>
      </x:c>
      <x:c r="B11" s="12" t="n">
        <x:v>46342</x:v>
      </x:c>
      <x:c r="C11" s="12" t="n">
        <x:v>46346</x:v>
      </x:c>
      <x:c r="D11" t="n">
        <x:v>40</x:v>
      </x:c>
      <x:c r="E11" t="n">
        <x:v>20</x:v>
      </x:c>
      <x:c r="F11" t="n">
        <x:v>12</x:v>
      </x:c>
      <x:c r="G11" t="n">
        <x:v>8</x:v>
      </x:c>
      <x:c r="H11" t="n">
        <x:f>D11-E11-F11-G11</x:f>
        <x:v>0</x:v>
      </x:c>
    </x:row>
  </x:sheetData>
  <x:mergeCells>
    <x:mergeCell ref="A1:H1"/>
  </x:mergeCells>
  <x:conditionalFormatting sqref="H4:H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551fe943911c4539"/>
  <x:tableParts count="1">
    <x:tablePart xmlns:r="http://schemas.openxmlformats.org/officeDocument/2006/relationships" r:id="R70761eb2c57348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2" hidden="0" customWidth="1"/>
    <x:col min="5" max="5" width="12" hidden="0" customWidth="1"/>
    <x:col min="7" max="7" width="16" hidden="0" customWidth="1"/>
    <x:col min="8" max="8" width="12" hidden="0" customWidth="1"/>
  </x:cols>
  <x:sheetData>
    <x:row r="1">
      <x:c r="A1" s="38" t="str">
        <x:v>TABLERO DE GESTIÓN DE REQUERIMIENTOS</x:v>
      </x:c>
    </x:row>
    <x:row r="3">
      <x:c r="A3" s="43" t="str">
        <x:v>KPI</x:v>
      </x:c>
      <x:c r="B3" s="43" t="str">
        <x:v>Valor</x:v>
      </x:c>
      <x:c r="D3" s="43" t="str">
        <x:v>ESTADO</x:v>
      </x:c>
      <x:c r="E3" s="43" t="str">
        <x:v>Cantidad</x:v>
      </x:c>
      <x:c r="G3" s="43" t="str">
        <x:v>PRIORIDAD</x:v>
      </x:c>
      <x:c r="H3" s="43" t="str">
        <x:v>Cantidad</x:v>
      </x:c>
    </x:row>
    <x:row r="4">
      <x:c r="A4" s="31" t="str">
        <x:v>Total requerimientos</x:v>
      </x:c>
      <x:c r="B4" s="47" t="n">
        <x:f>COUNTA(Backlog!A2:A200)</x:f>
        <x:v>8</x:v>
      </x:c>
      <x:c r="D4" s="30" t="str">
        <x:v>Pendiente</x:v>
      </x:c>
      <x:c r="E4" t="n">
        <x:f>COUNTIF(Backlog!F2:F200,D4)</x:f>
        <x:v>2</x:v>
      </x:c>
      <x:c r="G4" s="30" t="str">
        <x:v>P1 - Crítica</x:v>
      </x:c>
      <x:c r="H4" t="n">
        <x:f>COUNTIF(Backlog!D2:D200,G4)</x:f>
        <x:v>2</x:v>
      </x:c>
    </x:row>
    <x:row r="5">
      <x:c r="A5" s="31" t="str">
        <x:v>Críticos</x:v>
      </x:c>
      <x:c r="B5" s="47" t="n">
        <x:f>COUNTIF(Backlog!D2:D200,"P1 - Crítica")</x:f>
        <x:v>2</x:v>
      </x:c>
      <x:c r="D5" s="30" t="str">
        <x:v>Análisis</x:v>
      </x:c>
      <x:c r="E5" t="n">
        <x:f>COUNTIF(Backlog!F2:F200,D5)</x:f>
        <x:v>0</x:v>
      </x:c>
      <x:c r="G5" s="30" t="str">
        <x:v>P2 - Alta</x:v>
      </x:c>
      <x:c r="H5" t="n">
        <x:f>COUNTIF(Backlog!D2:D200,G5)</x:f>
        <x:v>3</x:v>
      </x:c>
    </x:row>
    <x:row r="6">
      <x:c r="A6" s="31" t="str">
        <x:v>Activos</x:v>
      </x:c>
      <x:c r="B6" s="47" t="n">
        <x:f>COUNTIFS(Backlog!A2:A200,"&lt;&gt;",Backlog!F2:F200,"&lt;&gt;Cerrado")</x:f>
        <x:v>8</x:v>
      </x:c>
      <x:c r="D6" s="30" t="str">
        <x:v>DEF</x:v>
      </x:c>
      <x:c r="E6" t="n">
        <x:f>COUNTIF(Backlog!F2:F200,D6)</x:f>
        <x:v>1</x:v>
      </x:c>
      <x:c r="G6" s="30" t="str">
        <x:v>P3 - Media</x:v>
      </x:c>
      <x:c r="H6" t="n">
        <x:f>COUNTIF(Backlog!D2:D200,G6)</x:f>
        <x:v>3</x:v>
      </x:c>
    </x:row>
    <x:row r="7">
      <x:c r="A7" s="31" t="str">
        <x:v>Bloqueados</x:v>
      </x:c>
      <x:c r="B7" s="47" t="n">
        <x:f>COUNTIF(Backlog!F2:F200,"Bloqueado")</x:f>
        <x:v>0</x:v>
      </x:c>
      <x:c r="D7" s="30" t="str">
        <x:v>Historias</x:v>
      </x:c>
      <x:c r="E7" t="n">
        <x:f>COUNTIF(Backlog!F2:F200,D7)</x:f>
        <x:v>1</x:v>
      </x:c>
      <x:c r="G7" s="30" t="str">
        <x:v>P4 - Baja</x:v>
      </x:c>
      <x:c r="H7" t="n">
        <x:f>COUNTIF(Backlog!D2:D200,G7)</x:f>
        <x:v>0</x:v>
      </x:c>
    </x:row>
    <x:row r="8">
      <x:c r="A8" s="31" t="str">
        <x:v>Horas estimadas</x:v>
      </x:c>
      <x:c r="B8" s="47" t="n">
        <x:f>SUM(Backlog!I2:I200)</x:f>
        <x:v>131</x:v>
      </x:c>
      <x:c r="D8" s="30" t="str">
        <x:v>Ready</x:v>
      </x:c>
      <x:c r="E8" t="n">
        <x:f>COUNTIF(Backlog!F2:F200,D8)</x:f>
        <x:v>0</x:v>
      </x:c>
    </x:row>
    <x:row r="9">
      <x:c r="A9" s="31" t="str">
        <x:v>Horas ejecutadas</x:v>
      </x:c>
      <x:c r="B9" s="47" t="n">
        <x:f>SUM(Backlog!K2:K200)</x:f>
        <x:v>33</x:v>
      </x:c>
      <x:c r="D9" s="30" t="str">
        <x:v>Desarrollo</x:v>
      </x:c>
      <x:c r="E9" t="n">
        <x:f>COUNTIF(Backlog!F2:F200,D9)</x:f>
        <x:v>1</x:v>
      </x:c>
    </x:row>
    <x:row r="10">
      <x:c r="A10" s="31" t="str">
        <x:v>Avance promedio</x:v>
      </x:c>
      <x:c r="B10" s="50" t="n">
        <x:f>IFERROR(AVERAGE(Backlog!P2:P200),0)</x:f>
        <x:v>0.46875</x:v>
      </x:c>
      <x:c r="D10" s="30" t="str">
        <x:v>Pruebas</x:v>
      </x:c>
      <x:c r="E10" t="n">
        <x:f>COUNTIF(Backlog!F2:F200,D10)</x:f>
        <x:v>1</x:v>
      </x:c>
    </x:row>
    <x:row r="11">
      <x:c r="A11" s="31" t="str">
        <x:v>Capacidad semanal req.</x:v>
      </x:c>
      <x:c r="B11" s="47" t="n">
        <x:f>'Plan Semanal'!B7</x:f>
        <x:v>20</x:v>
      </x:c>
      <x:c r="D11" s="30" t="str">
        <x:v>Validación</x:v>
      </x:c>
      <x:c r="E11" t="n">
        <x:f>COUNTIF(Backlog!F2:F200,D11)</x:f>
        <x:v>1</x:v>
      </x:c>
    </x:row>
    <x:row r="12">
      <x:c r="D12" s="30" t="str">
        <x:v>Listo para producción</x:v>
      </x:c>
      <x:c r="E12" t="n">
        <x:f>COUNTIF(Backlog!F2:F200,D12)</x:f>
        <x:v>0</x:v>
      </x:c>
    </x:row>
    <x:row r="13">
      <x:c r="D13" s="30" t="str">
        <x:v>Producción</x:v>
      </x:c>
      <x:c r="E13" t="n">
        <x:f>COUNTIF(Backlog!F2:F200,D13)</x:f>
        <x:v>1</x:v>
      </x:c>
    </x:row>
    <x:row r="14">
      <x:c r="D14" s="30" t="str">
        <x:v>Cerrado</x:v>
      </x:c>
      <x:c r="E14" t="n">
        <x:f>COUNTIF(Backlog!F2:F200,D14)</x:f>
        <x:v>0</x:v>
      </x:c>
    </x:row>
    <x:row r="15">
      <x:c r="D15" s="30" t="str">
        <x:v>Bloqueado</x:v>
      </x:c>
      <x:c r="E15" t="n">
        <x:f>COUNTIF(Backlog!F2:F200,D15)</x:f>
        <x:v>0</x:v>
      </x:c>
    </x:row>
    <x:row r="50">
      <x:c r="A50" s="56" t="str">
        <x:v>Regla de uso: planifica contra la capacidad disponible, limita el trabajo en curso y no comprometas fechas de producción sin considerar dependencias y validaciones.</x:v>
      </x:c>
    </x:row>
  </x:sheetData>
  <x:mergeCells>
    <x:mergeCell ref="A1:L1"/>
    <x:mergeCell ref="A50:L52"/>
  </x:mergeCells>
  <x:pageMargins left="0.7" right="0.7" top="0.75" bottom="0.75" header="0.3" footer="0.3"/>
  <x:drawing xmlns:r="http://schemas.openxmlformats.org/officeDocument/2006/relationships" r:id="R5e34e93952944cc4"/>
</x:worksheet>
</file>