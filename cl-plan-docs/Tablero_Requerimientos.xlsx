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5.xml.rels" ContentType="application/vnd.openxmlformats-package.relationships+xml"/>
  <Override PartName="/xl/worksheets/_rels/sheet3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2.xml.rels" ContentType="application/vnd.openxmlformats-package.relationship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eeme" sheetId="1" state="visible" r:id="rId3"/>
    <sheet name="Parámetros" sheetId="2" state="visible" r:id="rId4"/>
    <sheet name="Tablero" sheetId="3" state="visible" r:id="rId5"/>
    <sheet name="Cronograma" sheetId="4" state="visible" r:id="rId6"/>
    <sheet name="Resumen" sheetId="5" state="visible" r:id="rId7"/>
  </sheets>
  <definedNames>
    <definedName function="false" hidden="true" localSheetId="2" name="_xlnm._FilterDatabase" vbProcedure="false">Tablero!$A$4:$Y$104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<sst xmlns="http://schemas.openxmlformats.org/spreadsheetml/2006/main" count="169" uniqueCount="151">
  <si>
    <t xml:space="preserve">Tablero de gestión de requerimientos</t>
  </si>
  <si>
    <t xml:space="preserve">Ciclo con DEF (documento de definición funcional): de la necesidad o cambio hasta producción</t>
  </si>
  <si>
    <t xml:space="preserve">Propósito</t>
  </si>
  <si>
    <t xml:space="preserve">Registrar cada requerimiento, priorizarlo, calcular fechas según tu capacidad semanal y darle seguimiento hasta producción.</t>
  </si>
  <si>
    <t xml:space="preserve">Cómo usarlo</t>
  </si>
  <si>
    <t xml:space="preserve">1. En Parámetros confirma la fecha de inicio, tus horas semanales para requerimientos, el límite de activos y el colchón.</t>
  </si>
  <si>
    <t xml:space="preserve">2. En Tablero usa una fila por requerimiento: ID, título, origen, solicitante, cuatro puntajes (1 a 5) y tamaño (S, M o L). La fila 5 es un ejemplo: sobrescríbela con tu primer requerimiento.</t>
  </si>
  <si>
    <t xml:space="preserve">3. Puntaje, prioridad, horas, duración, carril y fechas se calculan solos.</t>
  </si>
  <si>
    <t xml:space="preserve">4. Cada viernes actualiza Etapa actual, Estado del DEF y Estado. Registra las horas reales.</t>
  </si>
  <si>
    <t xml:space="preserve">5. Si un requerimiento ya está en curso, escribe su fecha en Inicio manual (opcional).</t>
  </si>
  <si>
    <t xml:space="preserve">6. Al cerrar: Etapa = Cerrado, Fecha fin real y Horas reales. Sale de la planificación y alimenta la desviación en Resumen.</t>
  </si>
  <si>
    <t xml:space="preserve">7. Cronograma (vista semanal) y Resumen (indicadores y gráfico) se actualizan solos.</t>
  </si>
  <si>
    <t xml:space="preserve">Colores</t>
  </si>
  <si>
    <t xml:space="preserve">Amarillo con texto azul: celdas que tú completas.</t>
  </si>
  <si>
    <t xml:space="preserve">Gris con texto negro: fórmulas; no las modifiques.</t>
  </si>
  <si>
    <t xml:space="preserve">Cómo se calculan las fechas</t>
  </si>
  <si>
    <t xml:space="preserve">Puntaje = valor + urgencia + riesgo − esfuerzo. Prioridad = orden por puntaje (si empatan, va primero el que está más arriba).</t>
  </si>
  <si>
    <t xml:space="preserve">Horas de gestión = total de la etapa completa según el tamaño (tabla de Parámetros).</t>
  </si>
  <si>
    <t xml:space="preserve">Tus horas semanales para requerimientos se reparten en tantos carriles como el límite de activos. Duración = horas ÷ horas por carril y día, más el colchón.</t>
  </si>
  <si>
    <t xml:space="preserve">Los requerimientos se asignan a carriles por prioridad (1 al carril 1, 2 al carril 2, …) y cada carril los atiende en secuencia. Los feriados de Parámetros no cuentan como días laborables.</t>
  </si>
  <si>
    <t xml:space="preserve">Supuestos</t>
  </si>
  <si>
    <t xml:space="preserve">Las horas por etapa y por tamaño son orientativas: recalíbralas con tus horas reales después de 4 semanas.</t>
  </si>
  <si>
    <t xml:space="preserve">Feriados precargados: 09/10/2026 y 25/12/2026. Agrega los demás según el calendario oficial.</t>
  </si>
  <si>
    <t xml:space="preserve">Las fechas son una referencia de planificación. Si la realidad cambia, usa Inicio manual y revisa el Cronograma.</t>
  </si>
  <si>
    <t xml:space="preserve">Parámetros del plan</t>
  </si>
  <si>
    <t xml:space="preserve">Edita solo las celdas amarillas. Todo el Tablero se recalcula a partir de esta hoja.</t>
  </si>
  <si>
    <t xml:space="preserve">CAPACIDAD SEMANAL</t>
  </si>
  <si>
    <t xml:space="preserve">FERIADOS</t>
  </si>
  <si>
    <t xml:space="preserve">LISTAS (no editar)</t>
  </si>
  <si>
    <t xml:space="preserve">Concepto</t>
  </si>
  <si>
    <t xml:space="preserve">Horas/semana</t>
  </si>
  <si>
    <t xml:space="preserve">Fecha</t>
  </si>
  <si>
    <t xml:space="preserve">Descripción</t>
  </si>
  <si>
    <t xml:space="preserve">Origen</t>
  </si>
  <si>
    <t xml:space="preserve">Etapa</t>
  </si>
  <si>
    <t xml:space="preserve">Estado del DEF</t>
  </si>
  <si>
    <t xml:space="preserve">Estado</t>
  </si>
  <si>
    <t xml:space="preserve">Requerimientos (tu gestión)</t>
  </si>
  <si>
    <t xml:space="preserve">Independencia de Guayaquil</t>
  </si>
  <si>
    <t xml:space="preserve">Necesidad</t>
  </si>
  <si>
    <t xml:space="preserve">Backlog</t>
  </si>
  <si>
    <t xml:space="preserve">Sin iniciar</t>
  </si>
  <si>
    <t xml:space="preserve">En tiempo</t>
  </si>
  <si>
    <t xml:space="preserve">Otros proyectos</t>
  </si>
  <si>
    <t xml:space="preserve">Navidad</t>
  </si>
  <si>
    <t xml:space="preserve">Cambio</t>
  </si>
  <si>
    <t xml:space="preserve">Triaje</t>
  </si>
  <si>
    <t xml:space="preserve">Borrador</t>
  </si>
  <si>
    <t xml:space="preserve">En riesgo</t>
  </si>
  <si>
    <t xml:space="preserve">Reuniones, imprevistos, correos</t>
  </si>
  <si>
    <t xml:space="preserve">DEF: elaboración</t>
  </si>
  <si>
    <t xml:space="preserve">En validación</t>
  </si>
  <si>
    <t xml:space="preserve">Bloqueado</t>
  </si>
  <si>
    <t xml:space="preserve">Planificación (lunes) y revisión (viernes)</t>
  </si>
  <si>
    <t xml:space="preserve">DEF: validación</t>
  </si>
  <si>
    <t xml:space="preserve">Aprobado</t>
  </si>
  <si>
    <t xml:space="preserve">Completado</t>
  </si>
  <si>
    <t xml:space="preserve">Total semana</t>
  </si>
  <si>
    <t xml:space="preserve">Historias y pruebas</t>
  </si>
  <si>
    <t xml:space="preserve">Refinamiento</t>
  </si>
  <si>
    <t xml:space="preserve">PARÁMETROS DEL PLAN</t>
  </si>
  <si>
    <t xml:space="preserve">Desarrollo</t>
  </si>
  <si>
    <t xml:space="preserve">Fecha de inicio del plan</t>
  </si>
  <si>
    <t xml:space="preserve">Pruebas QA/UAT</t>
  </si>
  <si>
    <t xml:space="preserve">Días laborables por semana</t>
  </si>
  <si>
    <t xml:space="preserve">Paso a producción</t>
  </si>
  <si>
    <t xml:space="preserve">Horas de jornada por día</t>
  </si>
  <si>
    <t xml:space="preserve">Cerrado</t>
  </si>
  <si>
    <t xml:space="preserve">Límite de requerimientos activos (carriles)</t>
  </si>
  <si>
    <t xml:space="preserve">Colchón sobre la duración</t>
  </si>
  <si>
    <t xml:space="preserve">Horas de gestión por día (calculado)</t>
  </si>
  <si>
    <t xml:space="preserve">Horas por carril y día (calculado)</t>
  </si>
  <si>
    <t xml:space="preserve">HORAS DE TU GESTIÓN POR ETAPA (orientativas, por tamaño)</t>
  </si>
  <si>
    <t xml:space="preserve">S</t>
  </si>
  <si>
    <t xml:space="preserve">M</t>
  </si>
  <si>
    <t xml:space="preserve">L</t>
  </si>
  <si>
    <t xml:space="preserve">Entregable</t>
  </si>
  <si>
    <t xml:space="preserve">1. Recepción y triaje</t>
  </si>
  <si>
    <t xml:space="preserve">Ficha con necesidad, origen, solicitante, impacto</t>
  </si>
  <si>
    <t xml:space="preserve">2. Elaboración del DEF</t>
  </si>
  <si>
    <t xml:space="preserve">DEF redactado: alcance, reglas, flujos, riesgos</t>
  </si>
  <si>
    <t xml:space="preserve">3. Validación del DEF</t>
  </si>
  <si>
    <t xml:space="preserve">DEF aprobado (línea base)</t>
  </si>
  <si>
    <t xml:space="preserve">4. Historias y criterios de aceptación</t>
  </si>
  <si>
    <t xml:space="preserve">Historias, criterios y casos de prueba</t>
  </si>
  <si>
    <t xml:space="preserve">5. Refinamiento y estimación</t>
  </si>
  <si>
    <t xml:space="preserve">Alcance acordado y estimación</t>
  </si>
  <si>
    <t xml:space="preserve">6. Seguimiento del desarrollo</t>
  </si>
  <si>
    <t xml:space="preserve">Dudas resueltas, cambios controlados</t>
  </si>
  <si>
    <t xml:space="preserve">7. Pruebas (QA/UAT)</t>
  </si>
  <si>
    <t xml:space="preserve">Evidencias, defectos, aceptación</t>
  </si>
  <si>
    <t xml:space="preserve">8. Paso a producción</t>
  </si>
  <si>
    <t xml:space="preserve">Aprobación de cambio, plan de release y rollback</t>
  </si>
  <si>
    <t xml:space="preserve">9. Post-producción y cierre</t>
  </si>
  <si>
    <t xml:space="preserve">Validación, DEF actualizado, lecciones</t>
  </si>
  <si>
    <t xml:space="preserve">Total de gestión por requerimiento</t>
  </si>
  <si>
    <t xml:space="preserve">Tamaño S: cambio puntual · M: varias pantallas o una integración · L: varias áreas, integraciones o datos</t>
  </si>
  <si>
    <t xml:space="preserve">Tablero de requerimientos</t>
  </si>
  <si>
    <t xml:space="preserve">Amarillo = editar · Gris = fórmula. La fila 5 es un ejemplo: sobrescríbela. Cerrado = sale de la planificación.</t>
  </si>
  <si>
    <t xml:space="preserve">ID</t>
  </si>
  <si>
    <t xml:space="preserve">Título del requerimiento</t>
  </si>
  <si>
    <t xml:space="preserve">Solicitante</t>
  </si>
  <si>
    <t xml:space="preserve">Valor (1-5)</t>
  </si>
  <si>
    <t xml:space="preserve">Urgencia (1-5)</t>
  </si>
  <si>
    <t xml:space="preserve">Riesgo si no se hace (1-5)</t>
  </si>
  <si>
    <t xml:space="preserve">Esfuerzo (1-5)</t>
  </si>
  <si>
    <t xml:space="preserve">Puntaje</t>
  </si>
  <si>
    <t xml:space="preserve">Prioridad</t>
  </si>
  <si>
    <t xml:space="preserve">Tamaño (S/M/L)</t>
  </si>
  <si>
    <t xml:space="preserve">Etapa actual</t>
  </si>
  <si>
    <t xml:space="preserve">Horas de gestión estimadas</t>
  </si>
  <si>
    <t xml:space="preserve">Días laborables de duración</t>
  </si>
  <si>
    <t xml:space="preserve">Carril</t>
  </si>
  <si>
    <t xml:space="preserve">Inicio manual (opcional)</t>
  </si>
  <si>
    <t xml:space="preserve">Fecha de inicio</t>
  </si>
  <si>
    <t xml:space="preserve">Fecha fin comprometida</t>
  </si>
  <si>
    <t xml:space="preserve">Fecha fin real</t>
  </si>
  <si>
    <t xml:space="preserve">Horas reales</t>
  </si>
  <si>
    <t xml:space="preserve">Dependencias</t>
  </si>
  <si>
    <t xml:space="preserve">Riesgos</t>
  </si>
  <si>
    <t xml:space="preserve">Enlace a DEF, historias y pruebas</t>
  </si>
  <si>
    <t xml:space="preserve">REQ-001</t>
  </si>
  <si>
    <t xml:space="preserve">EJEMPLO: agregar filtro por fecha en el reporte de ventas</t>
  </si>
  <si>
    <t xml:space="preserve">Área comercial</t>
  </si>
  <si>
    <t xml:space="preserve">Cronograma semanal por prioridad</t>
  </si>
  <si>
    <t xml:space="preserve">Cada columna es una semana (lunes). La barra aparece donde el requerimiento está en curso.</t>
  </si>
  <si>
    <t xml:space="preserve">#</t>
  </si>
  <si>
    <t xml:space="preserve">Título</t>
  </si>
  <si>
    <t xml:space="preserve">Inicio</t>
  </si>
  <si>
    <t xml:space="preserve">Fin</t>
  </si>
  <si>
    <t xml:space="preserve">Requerimientos en curso (miércoles de la semana)</t>
  </si>
  <si>
    <t xml:space="preserve">Cupo libre (límite − en curso)</t>
  </si>
  <si>
    <t xml:space="preserve">Resumen e indicadores</t>
  </si>
  <si>
    <t xml:space="preserve">INDICADORES</t>
  </si>
  <si>
    <t xml:space="preserve">Requerimientos registrados</t>
  </si>
  <si>
    <t xml:space="preserve">Cerrados</t>
  </si>
  <si>
    <t xml:space="preserve">Pendientes</t>
  </si>
  <si>
    <t xml:space="preserve">En gestión activa (Triaje a Refinamiento)</t>
  </si>
  <si>
    <t xml:space="preserve">Límite de activos</t>
  </si>
  <si>
    <t xml:space="preserve">Alerta de límite</t>
  </si>
  <si>
    <t xml:space="preserve">REQUERIMIENTOS POR ETAPA</t>
  </si>
  <si>
    <t xml:space="preserve">Cantidad</t>
  </si>
  <si>
    <t xml:space="preserve">ESTADO DE SEGUIMIENTO</t>
  </si>
  <si>
    <t xml:space="preserve">PLANIFICACIÓN Y HORAS</t>
  </si>
  <si>
    <t xml:space="preserve">Horas de gestión pendientes (no cerrados)</t>
  </si>
  <si>
    <t xml:space="preserve">Semanas estimadas para atender lo pendiente (con colchón)</t>
  </si>
  <si>
    <t xml:space="preserve">Fecha estimada de fin del último requerimiento</t>
  </si>
  <si>
    <t xml:space="preserve">Horas estimadas de los cerrados</t>
  </si>
  <si>
    <t xml:space="preserve">Horas reales de los cerrados</t>
  </si>
  <si>
    <t xml:space="preserve">Desviación de horas (reales vs. estimadas)</t>
  </si>
  <si>
    <t xml:space="preserve">Con más de 4 semanas de datos, recalibra las horas por etapa en Parámetros.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</si>
</sst>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0.0"/>
    <numFmt numFmtId="166" formatCode="dd/mm/yyyy"/>
    <numFmt numFmtId="167" formatCode="0"/>
    <numFmt numFmtId="168" formatCode="0%"/>
    <numFmt numFmtId="169" formatCode="0.00"/>
    <numFmt numFmtId="170" formatCode="General"/>
    <numFmt numFmtId="171" formatCode="dd\-mmm"/>
    <numFmt numFmtId="172" formatCode="0.0%"/>
  </numFmts>
  <fonts count="1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0B3C49"/>
      <name val="Arial"/>
      <family val="0"/>
      <charset val="1"/>
    </font>
    <font>
      <i val="true"/>
      <sz val="10"/>
      <color rgb="FF555555"/>
      <name val="Arial"/>
      <family val="0"/>
      <charset val="1"/>
    </font>
    <font>
      <b val="true"/>
      <sz val="12"/>
      <color rgb="FF0B3C49"/>
      <name val="Arial"/>
      <family val="0"/>
      <charset val="1"/>
    </font>
    <font>
      <sz val="10"/>
      <color rgb="FF00000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1"/>
      <color rgb="FF0B3C4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b val="true"/>
      <sz val="9"/>
      <color rgb="FFFFFFFF"/>
      <name val="Arial"/>
      <family val="0"/>
      <charset val="1"/>
    </font>
    <font>
      <sz val="9"/>
      <color rgb="FF888888"/>
      <name val="Arial"/>
      <family val="0"/>
      <charset val="1"/>
    </font>
    <font>
      <sz val="8"/>
      <color rgb="FF1C7293"/>
      <name val="Arial"/>
      <family val="0"/>
      <charset val="1"/>
    </font>
    <font>
      <i val="true"/>
      <sz val="9"/>
      <color rgb="FF555555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FFF9DB"/>
        <bgColor rgb="FFF9F9F9"/>
      </patternFill>
    </fill>
    <fill>
      <patternFill patternType="solid">
        <fgColor rgb="FFF2F4F5"/>
        <bgColor rgb="FFF9F9F9"/>
      </patternFill>
    </fill>
    <fill>
      <patternFill patternType="solid">
        <fgColor rgb="FFDCEBF0"/>
        <bgColor rgb="FFD9DEE1"/>
      </patternFill>
    </fill>
    <fill>
      <patternFill patternType="solid">
        <fgColor rgb="FF0B3C49"/>
        <bgColor rgb="FF33333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9D2D6"/>
      </left>
      <right style="thin">
        <color rgb="FFC9D2D6"/>
      </right>
      <top style="thin">
        <color rgb="FFC9D2D6"/>
      </top>
      <bottom style="thin">
        <color rgb="FFC9D2D6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3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9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1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8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7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12" fillId="5" borderId="1" xfId="0" applyFont="true" applyBorder="true" applyAlignment="true" applyProtection="false">
      <alignment horizontal="center" vertical="center" textRotation="90" wrapText="false" indent="0" shrinkToFit="false"/>
      <protection locked="true" hidden="false"/>
    </xf>
    <xf numFmtId="167" fontId="7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3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14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7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7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2" fontId="7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3">
    <dxf>
      <fill>
        <patternFill patternType="solid">
          <fgColor rgb="FF0B3C49"/>
          <bgColor rgb="FF000000"/>
        </patternFill>
      </fill>
    </dxf>
    <dxf>
      <fill>
        <patternFill patternType="solid">
          <fgColor rgb="FFFFF9DB"/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2F4F5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CDEBD3"/>
          <bgColor rgb="FF000000"/>
        </patternFill>
      </fill>
    </dxf>
    <dxf>
      <fill>
        <patternFill>
          <bgColor rgb="FFCDEBD3"/>
        </patternFill>
      </fill>
    </dxf>
    <dxf>
      <fill>
        <patternFill>
          <bgColor rgb="FFFCE3B0"/>
        </patternFill>
      </fill>
    </dxf>
    <dxf>
      <fill>
        <patternFill>
          <bgColor rgb="FFF6C1BC"/>
        </patternFill>
      </fill>
    </dxf>
    <dxf>
      <fill>
        <patternFill>
          <bgColor rgb="FFD9DEE1"/>
        </patternFill>
      </fill>
    </dxf>
    <dxf>
      <font>
        <name val="Arial"/>
        <charset val="1"/>
        <family val="0"/>
        <b val="1"/>
        <color rgb="FFC0392B"/>
      </font>
    </dxf>
    <dxf>
      <font>
        <name val="Arial"/>
        <charset val="1"/>
        <family val="0"/>
        <color rgb="FF1C7293"/>
      </font>
      <fill>
        <patternFill>
          <bgColor rgb="FF1C7293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C7293"/>
      <rgbColor rgb="FFD9D9D9"/>
      <rgbColor rgb="FF878787"/>
      <rgbColor rgb="FF9999FF"/>
      <rgbColor rgb="FF993366"/>
      <rgbColor rgb="FFFFF9DB"/>
      <rgbColor rgb="FFDCEBF0"/>
      <rgbColor rgb="FF660066"/>
      <rgbColor rgb="FFFF8080"/>
      <rgbColor rgb="FF0066CC"/>
      <rgbColor rgb="FFC9D2D6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4F5"/>
      <rgbColor rgb="FFCDEBD3"/>
      <rgbColor rgb="FFFCE3B0"/>
      <rgbColor rgb="FFD9DEE1"/>
      <rgbColor rgb="FFF9F9F9"/>
      <rgbColor rgb="FFCC99FF"/>
      <rgbColor rgb="FFF6C1BC"/>
      <rgbColor rgb="FF3366FF"/>
      <rgbColor rgb="FF33CCCC"/>
      <rgbColor rgb="FF99CC00"/>
      <rgbColor rgb="FFFFCC00"/>
      <rgbColor rgb="FFFF9900"/>
      <rgbColor rgb="FFFF6600"/>
      <rgbColor rgb="FF555555"/>
      <rgbColor rgb="FF888888"/>
      <rgbColor rgb="FF0B3C49"/>
      <rgbColor rgb="FF339966"/>
      <rgbColor rgb="FF003300"/>
      <rgbColor rgb="FF333300"/>
      <rgbColor rgb="FFC0392B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Requerimientos por etapa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Resumen!B13</c:f>
              <c:strCache>
                <c:ptCount val="1"/>
                <c:pt idx="0">
                  <c:v>Cantidad</c:v>
                </c:pt>
              </c:strCache>
            </c:strRef>
          </c:tx>
          <c:spPr>
            <a:solidFill>
              <a:srgbClr val="1c7293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Resumen!$A$14:$A$23</c:f>
              <c:strCache>
                <c:ptCount val="10"/>
                <c:pt idx="0">
                  <c:v>Backlog</c:v>
                </c:pt>
                <c:pt idx="1">
                  <c:v>Triaje</c:v>
                </c:pt>
                <c:pt idx="2">
                  <c:v>DEF: elaboración</c:v>
                </c:pt>
                <c:pt idx="3">
                  <c:v>DEF: validación</c:v>
                </c:pt>
                <c:pt idx="4">
                  <c:v>Historias y pruebas</c:v>
                </c:pt>
                <c:pt idx="5">
                  <c:v>Refinamiento</c:v>
                </c:pt>
                <c:pt idx="6">
                  <c:v>Desarrollo</c:v>
                </c:pt>
                <c:pt idx="7">
                  <c:v>Pruebas QA/UAT</c:v>
                </c:pt>
                <c:pt idx="8">
                  <c:v>Paso a producción</c:v>
                </c:pt>
                <c:pt idx="9">
                  <c:v>Cerrado</c:v>
                </c:pt>
              </c:strCache>
            </c:strRef>
          </c:cat>
          <c:val>
            <c:numRef>
              <c:f>Resumen!$B$14:$B$23</c:f>
              <c:numCache>
                <c:formatCode>General</c:formatCode>
                <c:ptCount val="10"/>
                <c:pt idx="0">
                  <c:v>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</c:ser>
        <c:gapWidth val="150"/>
        <c:overlap val="0"/>
        <c:axId val="43843279"/>
        <c:axId val="31958895"/>
      </c:barChart>
      <c:catAx>
        <c:axId val="438432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1958895"/>
        <c:crosses val="autoZero"/>
        <c:auto val="1"/>
        <c:lblAlgn val="ctr"/>
        <c:lblOffset val="100"/>
        <c:noMultiLvlLbl val="0"/>
      </c:catAx>
      <c:valAx>
        <c:axId val="3195889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3843279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3</xdr:col>
      <xdr:colOff>0</xdr:colOff>
      <xdr:row>10</xdr:row>
      <xdr:rowOff>131040</xdr:rowOff>
    </xdr:from>
    <xdr:to>
      <xdr:col>11</xdr:col>
      <xdr:colOff>507600</xdr:colOff>
      <xdr:row>27</xdr:row>
      <xdr:rowOff>132120</xdr:rowOff>
    </xdr:to>
    <xdr:graphicFrame>
      <xdr:nvGraphicFramePr>
        <xdr:cNvPr id="0" name="Chart 1"/>
        <xdr:cNvGraphicFramePr/>
      </xdr:nvGraphicFramePr>
      <xdr:xfrm>
        <a:off x="5404320" y="2095560"/>
        <a:ext cx="539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B3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118"/>
  </cols>
  <sheetData>
    <row r="1" customFormat="false" ht="19.7" hidden="false" customHeight="false" outlineLevel="0" collapsed="false">
      <c r="B1" s="1" t="s">
        <v>0</v>
      </c>
    </row>
    <row r="2" customFormat="false" ht="15" hidden="false" customHeight="false" outlineLevel="0" collapsed="false">
      <c r="B2" s="2" t="s">
        <v>1</v>
      </c>
    </row>
    <row r="4" customFormat="false" ht="15" hidden="false" customHeight="false" outlineLevel="0" collapsed="false">
      <c r="B4" s="0" t="s">
        <v>2</v>
      </c>
    </row>
    <row r="5" customFormat="false" ht="15" hidden="false" customHeight="false" outlineLevel="0" collapsed="false">
      <c r="B5" s="3" t="s">
        <v>2</v>
      </c>
    </row>
    <row r="6" customFormat="false" ht="15" hidden="false" customHeight="false" outlineLevel="0" collapsed="false">
      <c r="B6" s="4" t="s">
        <v>3</v>
      </c>
    </row>
    <row r="7" customFormat="false" ht="15" hidden="false" customHeight="false" outlineLevel="0" collapsed="false">
      <c r="B7" s="0" t="s">
        <v>4</v>
      </c>
    </row>
    <row r="8" customFormat="false" ht="15" hidden="false" customHeight="false" outlineLevel="0" collapsed="false">
      <c r="B8" s="3" t="s">
        <v>4</v>
      </c>
    </row>
    <row r="9" customFormat="false" ht="15" hidden="false" customHeight="false" outlineLevel="0" collapsed="false">
      <c r="B9" s="4" t="s">
        <v>5</v>
      </c>
    </row>
    <row r="10" customFormat="false" ht="23.85" hidden="false" customHeight="false" outlineLevel="0" collapsed="false">
      <c r="B10" s="4" t="s">
        <v>6</v>
      </c>
    </row>
    <row r="11" customFormat="false" ht="15" hidden="false" customHeight="false" outlineLevel="0" collapsed="false">
      <c r="B11" s="4" t="s">
        <v>7</v>
      </c>
    </row>
    <row r="12" customFormat="false" ht="15" hidden="false" customHeight="false" outlineLevel="0" collapsed="false">
      <c r="B12" s="4" t="s">
        <v>8</v>
      </c>
    </row>
    <row r="13" customFormat="false" ht="15" hidden="false" customHeight="false" outlineLevel="0" collapsed="false">
      <c r="B13" s="4" t="s">
        <v>9</v>
      </c>
    </row>
    <row r="14" customFormat="false" ht="15" hidden="false" customHeight="false" outlineLevel="0" collapsed="false">
      <c r="B14" s="4" t="s">
        <v>10</v>
      </c>
    </row>
    <row r="15" customFormat="false" ht="15" hidden="false" customHeight="false" outlineLevel="0" collapsed="false">
      <c r="B15" s="4" t="s">
        <v>11</v>
      </c>
    </row>
    <row r="16" customFormat="false" ht="15" hidden="false" customHeight="false" outlineLevel="0" collapsed="false">
      <c r="B16" s="0" t="s">
        <v>12</v>
      </c>
    </row>
    <row r="17" customFormat="false" ht="15" hidden="false" customHeight="false" outlineLevel="0" collapsed="false">
      <c r="B17" s="3" t="s">
        <v>12</v>
      </c>
    </row>
    <row r="18" customFormat="false" ht="15" hidden="false" customHeight="false" outlineLevel="0" collapsed="false">
      <c r="B18" s="5" t="s">
        <v>13</v>
      </c>
    </row>
    <row r="19" customFormat="false" ht="15" hidden="false" customHeight="false" outlineLevel="0" collapsed="false">
      <c r="B19" s="6" t="s">
        <v>14</v>
      </c>
    </row>
    <row r="20" customFormat="false" ht="15" hidden="false" customHeight="false" outlineLevel="0" collapsed="false">
      <c r="B20" s="0" t="s">
        <v>15</v>
      </c>
    </row>
    <row r="21" customFormat="false" ht="15" hidden="false" customHeight="false" outlineLevel="0" collapsed="false">
      <c r="B21" s="3" t="s">
        <v>15</v>
      </c>
    </row>
    <row r="22" customFormat="false" ht="15" hidden="false" customHeight="false" outlineLevel="0" collapsed="false">
      <c r="B22" s="4" t="s">
        <v>16</v>
      </c>
    </row>
    <row r="23" customFormat="false" ht="15" hidden="false" customHeight="false" outlineLevel="0" collapsed="false">
      <c r="B23" s="4" t="s">
        <v>17</v>
      </c>
    </row>
    <row r="24" customFormat="false" ht="23.85" hidden="false" customHeight="false" outlineLevel="0" collapsed="false">
      <c r="B24" s="4" t="s">
        <v>18</v>
      </c>
    </row>
    <row r="25" customFormat="false" ht="23.85" hidden="false" customHeight="false" outlineLevel="0" collapsed="false">
      <c r="B25" s="4" t="s">
        <v>19</v>
      </c>
    </row>
    <row r="26" customFormat="false" ht="15" hidden="false" customHeight="false" outlineLevel="0" collapsed="false">
      <c r="B26" s="0" t="s">
        <v>20</v>
      </c>
    </row>
    <row r="27" customFormat="false" ht="15" hidden="false" customHeight="false" outlineLevel="0" collapsed="false">
      <c r="B27" s="3" t="s">
        <v>20</v>
      </c>
    </row>
    <row r="28" customFormat="false" ht="15" hidden="false" customHeight="false" outlineLevel="0" collapsed="false">
      <c r="B28" s="4" t="s">
        <v>21</v>
      </c>
    </row>
    <row r="29" customFormat="false" ht="15" hidden="false" customHeight="false" outlineLevel="0" collapsed="false">
      <c r="B29" s="4" t="s">
        <v>22</v>
      </c>
    </row>
    <row r="30" customFormat="false" ht="15" hidden="false" customHeight="false" outlineLevel="0" collapsed="false">
      <c r="B30" s="4" t="s">
        <v>23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3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4" min="2" style="0" width="12"/>
    <col collapsed="false" customWidth="true" hidden="false" outlineLevel="0" max="5" min="5" style="0" width="40"/>
    <col collapsed="false" customWidth="true" hidden="false" outlineLevel="0" max="6" min="6" style="0" width="3"/>
    <col collapsed="false" customWidth="true" hidden="false" outlineLevel="0" max="7" min="7" style="0" width="14"/>
    <col collapsed="false" customWidth="true" hidden="false" outlineLevel="0" max="8" min="8" style="0" width="40"/>
    <col collapsed="false" customWidth="true" hidden="false" outlineLevel="0" max="9" min="9" style="0" width="3"/>
    <col collapsed="false" customWidth="true" hidden="false" outlineLevel="0" max="10" min="10" style="0" width="16"/>
    <col collapsed="false" customWidth="true" hidden="false" outlineLevel="0" max="11" min="11" style="0" width="24"/>
    <col collapsed="false" customWidth="true" hidden="false" outlineLevel="0" max="13" min="12" style="0" width="16"/>
    <col collapsed="false" customWidth="true" hidden="false" outlineLevel="0" max="14" min="14" style="0" width="3"/>
  </cols>
  <sheetData>
    <row r="1" customFormat="false" ht="19.7" hidden="false" customHeight="false" outlineLevel="0" collapsed="false">
      <c r="A1" s="1" t="s">
        <v>24</v>
      </c>
    </row>
    <row r="2" customFormat="false" ht="15" hidden="false" customHeight="false" outlineLevel="0" collapsed="false">
      <c r="A2" s="2" t="s">
        <v>25</v>
      </c>
    </row>
    <row r="4" customFormat="false" ht="15" hidden="false" customHeight="false" outlineLevel="0" collapsed="false">
      <c r="A4" s="7" t="s">
        <v>26</v>
      </c>
      <c r="B4" s="8"/>
      <c r="G4" s="7" t="s">
        <v>27</v>
      </c>
      <c r="H4" s="8"/>
      <c r="J4" s="7" t="s">
        <v>28</v>
      </c>
      <c r="K4" s="8"/>
      <c r="L4" s="8"/>
      <c r="M4" s="8"/>
    </row>
    <row r="5" customFormat="false" ht="23.85" hidden="false" customHeight="false" outlineLevel="0" collapsed="false">
      <c r="A5" s="9" t="s">
        <v>29</v>
      </c>
      <c r="B5" s="9" t="s">
        <v>30</v>
      </c>
      <c r="G5" s="9" t="s">
        <v>31</v>
      </c>
      <c r="H5" s="9" t="s">
        <v>32</v>
      </c>
      <c r="J5" s="9" t="s">
        <v>33</v>
      </c>
      <c r="K5" s="9" t="s">
        <v>34</v>
      </c>
      <c r="L5" s="9" t="s">
        <v>35</v>
      </c>
      <c r="M5" s="9" t="s">
        <v>36</v>
      </c>
    </row>
    <row r="6" customFormat="false" ht="15" hidden="false" customHeight="false" outlineLevel="0" collapsed="false">
      <c r="A6" s="10" t="s">
        <v>37</v>
      </c>
      <c r="B6" s="11" t="n">
        <v>20</v>
      </c>
      <c r="G6" s="12" t="n">
        <v>46304</v>
      </c>
      <c r="H6" s="13" t="s">
        <v>38</v>
      </c>
      <c r="J6" s="14" t="s">
        <v>39</v>
      </c>
      <c r="K6" s="14" t="s">
        <v>40</v>
      </c>
      <c r="L6" s="14" t="s">
        <v>41</v>
      </c>
      <c r="M6" s="14" t="s">
        <v>42</v>
      </c>
    </row>
    <row r="7" customFormat="false" ht="15" hidden="false" customHeight="false" outlineLevel="0" collapsed="false">
      <c r="A7" s="10" t="s">
        <v>43</v>
      </c>
      <c r="B7" s="11" t="n">
        <v>12</v>
      </c>
      <c r="G7" s="12" t="n">
        <v>46381</v>
      </c>
      <c r="H7" s="13" t="s">
        <v>44</v>
      </c>
      <c r="J7" s="14" t="s">
        <v>45</v>
      </c>
      <c r="K7" s="14" t="s">
        <v>46</v>
      </c>
      <c r="L7" s="14" t="s">
        <v>47</v>
      </c>
      <c r="M7" s="14" t="s">
        <v>48</v>
      </c>
    </row>
    <row r="8" customFormat="false" ht="15" hidden="false" customHeight="false" outlineLevel="0" collapsed="false">
      <c r="A8" s="10" t="s">
        <v>49</v>
      </c>
      <c r="B8" s="11" t="n">
        <v>6</v>
      </c>
      <c r="G8" s="12"/>
      <c r="H8" s="13"/>
      <c r="K8" s="14" t="s">
        <v>50</v>
      </c>
      <c r="L8" s="14" t="s">
        <v>51</v>
      </c>
      <c r="M8" s="14" t="s">
        <v>52</v>
      </c>
    </row>
    <row r="9" customFormat="false" ht="15" hidden="false" customHeight="false" outlineLevel="0" collapsed="false">
      <c r="A9" s="10" t="s">
        <v>53</v>
      </c>
      <c r="B9" s="11" t="n">
        <v>2</v>
      </c>
      <c r="G9" s="12"/>
      <c r="H9" s="13"/>
      <c r="K9" s="14" t="s">
        <v>54</v>
      </c>
      <c r="L9" s="14" t="s">
        <v>55</v>
      </c>
      <c r="M9" s="14" t="s">
        <v>56</v>
      </c>
    </row>
    <row r="10" customFormat="false" ht="15" hidden="false" customHeight="false" outlineLevel="0" collapsed="false">
      <c r="A10" s="15" t="s">
        <v>57</v>
      </c>
      <c r="B10" s="16" t="n">
        <f aca="false">SUM(B6:B9)</f>
        <v>40</v>
      </c>
      <c r="C10" s="10" t="str">
        <f aca="false">IF(B10=B14*B15,"OK","Revisa: debe sumar "&amp;B14*B15&amp;" h")</f>
        <v>OK</v>
      </c>
      <c r="D10" s="10"/>
      <c r="E10" s="10"/>
      <c r="G10" s="12"/>
      <c r="H10" s="13"/>
      <c r="K10" s="14" t="s">
        <v>58</v>
      </c>
    </row>
    <row r="11" customFormat="false" ht="15" hidden="false" customHeight="false" outlineLevel="0" collapsed="false">
      <c r="G11" s="12"/>
      <c r="H11" s="13"/>
      <c r="K11" s="14" t="s">
        <v>59</v>
      </c>
    </row>
    <row r="12" customFormat="false" ht="15" hidden="false" customHeight="false" outlineLevel="0" collapsed="false">
      <c r="A12" s="7" t="s">
        <v>60</v>
      </c>
      <c r="B12" s="8"/>
      <c r="G12" s="12"/>
      <c r="H12" s="13"/>
      <c r="K12" s="14" t="s">
        <v>61</v>
      </c>
    </row>
    <row r="13" customFormat="false" ht="15" hidden="false" customHeight="false" outlineLevel="0" collapsed="false">
      <c r="A13" s="10" t="s">
        <v>62</v>
      </c>
      <c r="B13" s="12" t="n">
        <v>46293</v>
      </c>
      <c r="G13" s="12"/>
      <c r="H13" s="13"/>
      <c r="K13" s="14" t="s">
        <v>63</v>
      </c>
    </row>
    <row r="14" customFormat="false" ht="15" hidden="false" customHeight="false" outlineLevel="0" collapsed="false">
      <c r="A14" s="10" t="s">
        <v>64</v>
      </c>
      <c r="B14" s="17" t="n">
        <v>5</v>
      </c>
      <c r="G14" s="12"/>
      <c r="H14" s="13"/>
      <c r="K14" s="14" t="s">
        <v>65</v>
      </c>
    </row>
    <row r="15" customFormat="false" ht="15" hidden="false" customHeight="false" outlineLevel="0" collapsed="false">
      <c r="A15" s="10" t="s">
        <v>66</v>
      </c>
      <c r="B15" s="17" t="n">
        <v>8</v>
      </c>
      <c r="G15" s="12"/>
      <c r="H15" s="13"/>
      <c r="K15" s="14" t="s">
        <v>67</v>
      </c>
    </row>
    <row r="16" customFormat="false" ht="15" hidden="false" customHeight="false" outlineLevel="0" collapsed="false">
      <c r="A16" s="10" t="s">
        <v>68</v>
      </c>
      <c r="B16" s="17" t="n">
        <v>3</v>
      </c>
      <c r="G16" s="12"/>
      <c r="H16" s="13"/>
    </row>
    <row r="17" customFormat="false" ht="15" hidden="false" customHeight="false" outlineLevel="0" collapsed="false">
      <c r="A17" s="10" t="s">
        <v>69</v>
      </c>
      <c r="B17" s="18" t="n">
        <v>0.2</v>
      </c>
      <c r="G17" s="12"/>
      <c r="H17" s="13"/>
    </row>
    <row r="18" customFormat="false" ht="15" hidden="false" customHeight="false" outlineLevel="0" collapsed="false">
      <c r="A18" s="10" t="s">
        <v>70</v>
      </c>
      <c r="B18" s="19" t="n">
        <f aca="false">B6/B14</f>
        <v>4</v>
      </c>
      <c r="G18" s="12"/>
      <c r="H18" s="13"/>
    </row>
    <row r="19" customFormat="false" ht="15" hidden="false" customHeight="false" outlineLevel="0" collapsed="false">
      <c r="A19" s="10" t="s">
        <v>71</v>
      </c>
      <c r="B19" s="19" t="n">
        <f aca="false">B18/B16</f>
        <v>1.33333333333333</v>
      </c>
      <c r="G19" s="12"/>
      <c r="H19" s="13"/>
    </row>
    <row r="20" customFormat="false" ht="15" hidden="false" customHeight="false" outlineLevel="0" collapsed="false">
      <c r="G20" s="12"/>
      <c r="H20" s="13"/>
    </row>
    <row r="21" customFormat="false" ht="15" hidden="false" customHeight="false" outlineLevel="0" collapsed="false">
      <c r="A21" s="7" t="s">
        <v>72</v>
      </c>
      <c r="B21" s="8"/>
      <c r="C21" s="8"/>
      <c r="D21" s="8"/>
      <c r="E21" s="8"/>
      <c r="G21" s="12"/>
      <c r="H21" s="13"/>
    </row>
    <row r="22" customFormat="false" ht="15" hidden="false" customHeight="false" outlineLevel="0" collapsed="false">
      <c r="A22" s="9" t="s">
        <v>34</v>
      </c>
      <c r="B22" s="9" t="s">
        <v>73</v>
      </c>
      <c r="C22" s="9" t="s">
        <v>74</v>
      </c>
      <c r="D22" s="9" t="s">
        <v>75</v>
      </c>
      <c r="E22" s="9" t="s">
        <v>76</v>
      </c>
      <c r="G22" s="12"/>
      <c r="H22" s="13"/>
    </row>
    <row r="23" customFormat="false" ht="15" hidden="false" customHeight="false" outlineLevel="0" collapsed="false">
      <c r="A23" s="10" t="s">
        <v>77</v>
      </c>
      <c r="B23" s="11" t="n">
        <v>0.5</v>
      </c>
      <c r="C23" s="11" t="n">
        <v>1</v>
      </c>
      <c r="D23" s="11" t="n">
        <v>1.5</v>
      </c>
      <c r="E23" s="10" t="s">
        <v>78</v>
      </c>
      <c r="G23" s="12"/>
      <c r="H23" s="13"/>
    </row>
    <row r="24" customFormat="false" ht="15" hidden="false" customHeight="false" outlineLevel="0" collapsed="false">
      <c r="A24" s="10" t="s">
        <v>79</v>
      </c>
      <c r="B24" s="11" t="n">
        <v>2</v>
      </c>
      <c r="C24" s="11" t="n">
        <v>4</v>
      </c>
      <c r="D24" s="11" t="n">
        <v>8</v>
      </c>
      <c r="E24" s="10" t="s">
        <v>80</v>
      </c>
      <c r="G24" s="12"/>
      <c r="H24" s="13"/>
    </row>
    <row r="25" customFormat="false" ht="15" hidden="false" customHeight="false" outlineLevel="0" collapsed="false">
      <c r="A25" s="10" t="s">
        <v>81</v>
      </c>
      <c r="B25" s="11" t="n">
        <v>0.5</v>
      </c>
      <c r="C25" s="11" t="n">
        <v>1.5</v>
      </c>
      <c r="D25" s="11" t="n">
        <v>3</v>
      </c>
      <c r="E25" s="10" t="s">
        <v>82</v>
      </c>
      <c r="G25" s="12"/>
      <c r="H25" s="13"/>
    </row>
    <row r="26" customFormat="false" ht="15" hidden="false" customHeight="false" outlineLevel="0" collapsed="false">
      <c r="A26" s="10" t="s">
        <v>83</v>
      </c>
      <c r="B26" s="11" t="n">
        <v>1</v>
      </c>
      <c r="C26" s="11" t="n">
        <v>2.5</v>
      </c>
      <c r="D26" s="11" t="n">
        <v>5</v>
      </c>
      <c r="E26" s="10" t="s">
        <v>84</v>
      </c>
    </row>
    <row r="27" customFormat="false" ht="15" hidden="false" customHeight="false" outlineLevel="0" collapsed="false">
      <c r="A27" s="10" t="s">
        <v>85</v>
      </c>
      <c r="B27" s="11" t="n">
        <v>0.5</v>
      </c>
      <c r="C27" s="11" t="n">
        <v>1</v>
      </c>
      <c r="D27" s="11" t="n">
        <v>2</v>
      </c>
      <c r="E27" s="10" t="s">
        <v>86</v>
      </c>
    </row>
    <row r="28" customFormat="false" ht="15" hidden="false" customHeight="false" outlineLevel="0" collapsed="false">
      <c r="A28" s="10" t="s">
        <v>87</v>
      </c>
      <c r="B28" s="11" t="n">
        <v>1</v>
      </c>
      <c r="C28" s="11" t="n">
        <v>3</v>
      </c>
      <c r="D28" s="11" t="n">
        <v>6</v>
      </c>
      <c r="E28" s="10" t="s">
        <v>88</v>
      </c>
    </row>
    <row r="29" customFormat="false" ht="15" hidden="false" customHeight="false" outlineLevel="0" collapsed="false">
      <c r="A29" s="10" t="s">
        <v>89</v>
      </c>
      <c r="B29" s="11" t="n">
        <v>1</v>
      </c>
      <c r="C29" s="11" t="n">
        <v>2.5</v>
      </c>
      <c r="D29" s="11" t="n">
        <v>5</v>
      </c>
      <c r="E29" s="10" t="s">
        <v>90</v>
      </c>
    </row>
    <row r="30" customFormat="false" ht="15" hidden="false" customHeight="false" outlineLevel="0" collapsed="false">
      <c r="A30" s="10" t="s">
        <v>91</v>
      </c>
      <c r="B30" s="11" t="n">
        <v>0.5</v>
      </c>
      <c r="C30" s="11" t="n">
        <v>1.5</v>
      </c>
      <c r="D30" s="11" t="n">
        <v>3</v>
      </c>
      <c r="E30" s="10" t="s">
        <v>92</v>
      </c>
    </row>
    <row r="31" customFormat="false" ht="15" hidden="false" customHeight="false" outlineLevel="0" collapsed="false">
      <c r="A31" s="10" t="s">
        <v>93</v>
      </c>
      <c r="B31" s="11" t="n">
        <v>0.5</v>
      </c>
      <c r="C31" s="11" t="n">
        <v>1</v>
      </c>
      <c r="D31" s="11" t="n">
        <v>2</v>
      </c>
      <c r="E31" s="10" t="s">
        <v>94</v>
      </c>
    </row>
    <row r="32" customFormat="false" ht="39.75" hidden="false" customHeight="true" outlineLevel="0" collapsed="false">
      <c r="A32" s="15" t="s">
        <v>95</v>
      </c>
      <c r="B32" s="16" t="n">
        <f aca="false">SUM(B23:B31)</f>
        <v>7.5</v>
      </c>
      <c r="C32" s="16" t="n">
        <f aca="false">SUM(C23:C31)</f>
        <v>18</v>
      </c>
      <c r="D32" s="16" t="n">
        <f aca="false">SUM(D23:D31)</f>
        <v>35.5</v>
      </c>
      <c r="E32" s="20" t="s">
        <v>96</v>
      </c>
    </row>
  </sheetData>
  <mergeCells count="1">
    <mergeCell ref="C10:E1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Y10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44"/>
    <col collapsed="false" customWidth="true" hidden="false" outlineLevel="0" max="3" min="3" style="0" width="12"/>
    <col collapsed="false" customWidth="true" hidden="false" outlineLevel="0" max="4" min="4" style="0" width="18"/>
    <col collapsed="false" customWidth="true" hidden="false" outlineLevel="0" max="6" min="5" style="0" width="9"/>
    <col collapsed="false" customWidth="true" hidden="false" outlineLevel="0" max="7" min="7" style="0" width="11"/>
    <col collapsed="false" customWidth="true" hidden="false" outlineLevel="0" max="9" min="8" style="0" width="9"/>
    <col collapsed="false" customWidth="true" hidden="false" outlineLevel="0" max="11" min="10" style="0" width="10"/>
    <col collapsed="false" customWidth="true" hidden="false" outlineLevel="0" max="12" min="12" style="0" width="20"/>
    <col collapsed="false" customWidth="true" hidden="false" outlineLevel="0" max="13" min="13" style="0" width="15"/>
    <col collapsed="false" customWidth="true" hidden="false" outlineLevel="0" max="15" min="14" style="0" width="13"/>
    <col collapsed="false" customWidth="true" hidden="false" outlineLevel="0" max="16" min="16" style="0" width="8"/>
    <col collapsed="false" customWidth="true" hidden="false" outlineLevel="0" max="17" min="17" style="0" width="14"/>
    <col collapsed="false" customWidth="true" hidden="false" outlineLevel="0" max="18" min="18" style="0" width="13"/>
    <col collapsed="false" customWidth="true" hidden="false" outlineLevel="0" max="19" min="19" style="0" width="14"/>
    <col collapsed="false" customWidth="true" hidden="false" outlineLevel="0" max="20" min="20" style="0" width="13"/>
    <col collapsed="false" customWidth="true" hidden="false" outlineLevel="0" max="21" min="21" style="0" width="9"/>
    <col collapsed="false" customWidth="true" hidden="false" outlineLevel="0" max="22" min="22" style="0" width="13"/>
    <col collapsed="false" customWidth="true" hidden="false" outlineLevel="0" max="24" min="23" style="0" width="26"/>
    <col collapsed="false" customWidth="true" hidden="false" outlineLevel="0" max="25" min="25" style="0" width="30"/>
  </cols>
  <sheetData>
    <row r="1" customFormat="false" ht="19.7" hidden="false" customHeight="false" outlineLevel="0" collapsed="false">
      <c r="A1" s="1" t="s">
        <v>97</v>
      </c>
    </row>
    <row r="2" customFormat="false" ht="15" hidden="false" customHeight="false" outlineLevel="0" collapsed="false">
      <c r="A2" s="2" t="s">
        <v>98</v>
      </c>
    </row>
    <row r="4" customFormat="false" ht="48" hidden="false" customHeight="true" outlineLevel="0" collapsed="false">
      <c r="A4" s="9" t="s">
        <v>99</v>
      </c>
      <c r="B4" s="9" t="s">
        <v>100</v>
      </c>
      <c r="C4" s="9" t="s">
        <v>33</v>
      </c>
      <c r="D4" s="9" t="s">
        <v>101</v>
      </c>
      <c r="E4" s="9" t="s">
        <v>102</v>
      </c>
      <c r="F4" s="9" t="s">
        <v>103</v>
      </c>
      <c r="G4" s="9" t="s">
        <v>104</v>
      </c>
      <c r="H4" s="9" t="s">
        <v>105</v>
      </c>
      <c r="I4" s="9" t="s">
        <v>106</v>
      </c>
      <c r="J4" s="9" t="s">
        <v>107</v>
      </c>
      <c r="K4" s="9" t="s">
        <v>108</v>
      </c>
      <c r="L4" s="9" t="s">
        <v>109</v>
      </c>
      <c r="M4" s="9" t="s">
        <v>35</v>
      </c>
      <c r="N4" s="9" t="s">
        <v>110</v>
      </c>
      <c r="O4" s="9" t="s">
        <v>111</v>
      </c>
      <c r="P4" s="9" t="s">
        <v>112</v>
      </c>
      <c r="Q4" s="9" t="s">
        <v>113</v>
      </c>
      <c r="R4" s="9" t="s">
        <v>114</v>
      </c>
      <c r="S4" s="9" t="s">
        <v>115</v>
      </c>
      <c r="T4" s="9" t="s">
        <v>116</v>
      </c>
      <c r="U4" s="9" t="s">
        <v>117</v>
      </c>
      <c r="V4" s="9" t="s">
        <v>36</v>
      </c>
      <c r="W4" s="9" t="s">
        <v>118</v>
      </c>
      <c r="X4" s="9" t="s">
        <v>119</v>
      </c>
      <c r="Y4" s="9" t="s">
        <v>120</v>
      </c>
    </row>
    <row r="5" customFormat="false" ht="15" hidden="false" customHeight="false" outlineLevel="0" collapsed="false">
      <c r="A5" s="13" t="s">
        <v>121</v>
      </c>
      <c r="B5" s="21" t="s">
        <v>122</v>
      </c>
      <c r="C5" s="22" t="s">
        <v>45</v>
      </c>
      <c r="D5" s="13" t="s">
        <v>123</v>
      </c>
      <c r="E5" s="22" t="n">
        <v>4</v>
      </c>
      <c r="F5" s="22" t="n">
        <v>3</v>
      </c>
      <c r="G5" s="22" t="n">
        <v>2</v>
      </c>
      <c r="H5" s="22" t="n">
        <v>2</v>
      </c>
      <c r="I5" s="23" t="n">
        <f aca="false">IF(OR($A5="",$L5="Cerrado",COUNT($E5:$H5)&lt;4),"",$E5+$F5+$G5-$H5)</f>
        <v>7</v>
      </c>
      <c r="J5" s="23" t="n">
        <f aca="false">IF($I5="","",RANK($I5,$I$5:$I$104)+COUNTIF($I$4:$I4,$I5))</f>
        <v>1</v>
      </c>
      <c r="K5" s="22" t="s">
        <v>74</v>
      </c>
      <c r="L5" s="13" t="s">
        <v>40</v>
      </c>
      <c r="M5" s="22" t="s">
        <v>41</v>
      </c>
      <c r="N5" s="24" t="n">
        <f aca="false">IF(OR($A5="",$K5=""),"",INDEX(Parámetros!$B$32:$D$32,MATCH($K5,Parámetros!$B$22:$D$22,0)))</f>
        <v>18</v>
      </c>
      <c r="O5" s="23" t="n">
        <f aca="false">IF($N5="","",ROUNDUP($N5/Parámetros!$B$19*(1+Parámetros!$B$17),0))</f>
        <v>17</v>
      </c>
      <c r="P5" s="23" t="n">
        <f aca="false">IF($J5="","",MOD($J5-1,Parámetros!$B$16)+1)</f>
        <v>1</v>
      </c>
      <c r="Q5" s="12"/>
      <c r="R5" s="25" t="n">
        <f aca="false">IF(OR($J5="",$O5=""),"",IF($Q5&lt;&gt;"",$Q5,WORKDAY(Parámetros!$B$13-1,SUMIFS($O$5:$O$104,$P$5:$P$104,$P5,$J$5:$J$104,"&lt;"&amp;$J5)+1,Parámetros!$G$6:$G$25)))</f>
        <v>46293</v>
      </c>
      <c r="S5" s="25" t="n">
        <f aca="false">IF($R5="","",WORKDAY($R5-1,$O5,Parámetros!$G$6:$G$25))</f>
        <v>46316</v>
      </c>
      <c r="T5" s="12"/>
      <c r="U5" s="11"/>
      <c r="V5" s="22" t="s">
        <v>42</v>
      </c>
      <c r="W5" s="21"/>
      <c r="X5" s="21"/>
      <c r="Y5" s="21"/>
    </row>
    <row r="6" customFormat="false" ht="15" hidden="false" customHeight="false" outlineLevel="0" collapsed="false">
      <c r="A6" s="13"/>
      <c r="B6" s="21"/>
      <c r="C6" s="22"/>
      <c r="D6" s="13"/>
      <c r="E6" s="22"/>
      <c r="F6" s="22"/>
      <c r="G6" s="22"/>
      <c r="H6" s="22"/>
      <c r="I6" s="23" t="str">
        <f aca="false">IF(OR($A6="",$L6="Cerrado",COUNT($E6:$H6)&lt;4),"",$E6+$F6+$G6-$H6)</f>
        <v/>
      </c>
      <c r="J6" s="23" t="str">
        <f aca="false">IF($I6="","",RANK($I6,$I$5:$I$104)+COUNTIF($I$4:$I5,$I6))</f>
        <v/>
      </c>
      <c r="K6" s="22"/>
      <c r="L6" s="13"/>
      <c r="M6" s="22"/>
      <c r="N6" s="24" t="str">
        <f aca="false">IF(OR($A6="",$K6=""),"",INDEX(Parámetros!$B$32:$D$32,MATCH($K6,Parámetros!$B$22:$D$22,0)))</f>
        <v/>
      </c>
      <c r="O6" s="23" t="str">
        <f aca="false">IF($N6="","",ROUNDUP($N6/Parámetros!$B$19*(1+Parámetros!$B$17),0))</f>
        <v/>
      </c>
      <c r="P6" s="23" t="str">
        <f aca="false">IF($J6="","",MOD($J6-1,Parámetros!$B$16)+1)</f>
        <v/>
      </c>
      <c r="Q6" s="12"/>
      <c r="R6" s="25" t="str">
        <f aca="false">IF(OR($J6="",$O6=""),"",IF($Q6&lt;&gt;"",$Q6,WORKDAY(Parámetros!$B$13-1,SUMIFS($O$5:$O$104,$P$5:$P$104,$P6,$J$5:$J$104,"&lt;"&amp;$J6)+1,Parámetros!$G$6:$G$25)))</f>
        <v/>
      </c>
      <c r="S6" s="25" t="str">
        <f aca="false">IF($R6="","",WORKDAY($R6-1,$O6,Parámetros!$G$6:$G$25))</f>
        <v/>
      </c>
      <c r="T6" s="12"/>
      <c r="U6" s="11"/>
      <c r="V6" s="22"/>
      <c r="W6" s="21"/>
      <c r="X6" s="21"/>
      <c r="Y6" s="21"/>
    </row>
    <row r="7" customFormat="false" ht="15" hidden="false" customHeight="false" outlineLevel="0" collapsed="false">
      <c r="A7" s="13"/>
      <c r="B7" s="21"/>
      <c r="C7" s="22"/>
      <c r="D7" s="13"/>
      <c r="E7" s="22"/>
      <c r="F7" s="22"/>
      <c r="G7" s="22"/>
      <c r="H7" s="22"/>
      <c r="I7" s="23" t="str">
        <f aca="false">IF(OR($A7="",$L7="Cerrado",COUNT($E7:$H7)&lt;4),"",$E7+$F7+$G7-$H7)</f>
        <v/>
      </c>
      <c r="J7" s="23" t="str">
        <f aca="false">IF($I7="","",RANK($I7,$I$5:$I$104)+COUNTIF($I$4:$I6,$I7))</f>
        <v/>
      </c>
      <c r="K7" s="22"/>
      <c r="L7" s="13"/>
      <c r="M7" s="22"/>
      <c r="N7" s="24" t="str">
        <f aca="false">IF(OR($A7="",$K7=""),"",INDEX(Parámetros!$B$32:$D$32,MATCH($K7,Parámetros!$B$22:$D$22,0)))</f>
        <v/>
      </c>
      <c r="O7" s="23" t="str">
        <f aca="false">IF($N7="","",ROUNDUP($N7/Parámetros!$B$19*(1+Parámetros!$B$17),0))</f>
        <v/>
      </c>
      <c r="P7" s="23" t="str">
        <f aca="false">IF($J7="","",MOD($J7-1,Parámetros!$B$16)+1)</f>
        <v/>
      </c>
      <c r="Q7" s="12"/>
      <c r="R7" s="25" t="str">
        <f aca="false">IF(OR($J7="",$O7=""),"",IF($Q7&lt;&gt;"",$Q7,WORKDAY(Parámetros!$B$13-1,SUMIFS($O$5:$O$104,$P$5:$P$104,$P7,$J$5:$J$104,"&lt;"&amp;$J7)+1,Parámetros!$G$6:$G$25)))</f>
        <v/>
      </c>
      <c r="S7" s="25" t="str">
        <f aca="false">IF($R7="","",WORKDAY($R7-1,$O7,Parámetros!$G$6:$G$25))</f>
        <v/>
      </c>
      <c r="T7" s="12"/>
      <c r="U7" s="11"/>
      <c r="V7" s="22"/>
      <c r="W7" s="21"/>
      <c r="X7" s="21"/>
      <c r="Y7" s="21"/>
    </row>
    <row r="8" customFormat="false" ht="15" hidden="false" customHeight="false" outlineLevel="0" collapsed="false">
      <c r="A8" s="13"/>
      <c r="B8" s="21"/>
      <c r="C8" s="22"/>
      <c r="D8" s="13"/>
      <c r="E8" s="22"/>
      <c r="F8" s="22"/>
      <c r="G8" s="22"/>
      <c r="H8" s="22"/>
      <c r="I8" s="23" t="str">
        <f aca="false">IF(OR($A8="",$L8="Cerrado",COUNT($E8:$H8)&lt;4),"",$E8+$F8+$G8-$H8)</f>
        <v/>
      </c>
      <c r="J8" s="23" t="str">
        <f aca="false">IF($I8="","",RANK($I8,$I$5:$I$104)+COUNTIF($I$4:$I7,$I8))</f>
        <v/>
      </c>
      <c r="K8" s="22"/>
      <c r="L8" s="13"/>
      <c r="M8" s="22"/>
      <c r="N8" s="24" t="str">
        <f aca="false">IF(OR($A8="",$K8=""),"",INDEX(Parámetros!$B$32:$D$32,MATCH($K8,Parámetros!$B$22:$D$22,0)))</f>
        <v/>
      </c>
      <c r="O8" s="23" t="str">
        <f aca="false">IF($N8="","",ROUNDUP($N8/Parámetros!$B$19*(1+Parámetros!$B$17),0))</f>
        <v/>
      </c>
      <c r="P8" s="23" t="str">
        <f aca="false">IF($J8="","",MOD($J8-1,Parámetros!$B$16)+1)</f>
        <v/>
      </c>
      <c r="Q8" s="12"/>
      <c r="R8" s="25" t="str">
        <f aca="false">IF(OR($J8="",$O8=""),"",IF($Q8&lt;&gt;"",$Q8,WORKDAY(Parámetros!$B$13-1,SUMIFS($O$5:$O$104,$P$5:$P$104,$P8,$J$5:$J$104,"&lt;"&amp;$J8)+1,Parámetros!$G$6:$G$25)))</f>
        <v/>
      </c>
      <c r="S8" s="25" t="str">
        <f aca="false">IF($R8="","",WORKDAY($R8-1,$O8,Parámetros!$G$6:$G$25))</f>
        <v/>
      </c>
      <c r="T8" s="12"/>
      <c r="U8" s="11"/>
      <c r="V8" s="22"/>
      <c r="W8" s="21"/>
      <c r="X8" s="21"/>
      <c r="Y8" s="21"/>
    </row>
    <row r="9" customFormat="false" ht="15" hidden="false" customHeight="false" outlineLevel="0" collapsed="false">
      <c r="A9" s="13"/>
      <c r="B9" s="21"/>
      <c r="C9" s="22"/>
      <c r="D9" s="13"/>
      <c r="E9" s="22"/>
      <c r="F9" s="22"/>
      <c r="G9" s="22"/>
      <c r="H9" s="22"/>
      <c r="I9" s="23" t="str">
        <f aca="false">IF(OR($A9="",$L9="Cerrado",COUNT($E9:$H9)&lt;4),"",$E9+$F9+$G9-$H9)</f>
        <v/>
      </c>
      <c r="J9" s="23" t="str">
        <f aca="false">IF($I9="","",RANK($I9,$I$5:$I$104)+COUNTIF($I$4:$I8,$I9))</f>
        <v/>
      </c>
      <c r="K9" s="22"/>
      <c r="L9" s="13"/>
      <c r="M9" s="22"/>
      <c r="N9" s="24" t="str">
        <f aca="false">IF(OR($A9="",$K9=""),"",INDEX(Parámetros!$B$32:$D$32,MATCH($K9,Parámetros!$B$22:$D$22,0)))</f>
        <v/>
      </c>
      <c r="O9" s="23" t="str">
        <f aca="false">IF($N9="","",ROUNDUP($N9/Parámetros!$B$19*(1+Parámetros!$B$17),0))</f>
        <v/>
      </c>
      <c r="P9" s="23" t="str">
        <f aca="false">IF($J9="","",MOD($J9-1,Parámetros!$B$16)+1)</f>
        <v/>
      </c>
      <c r="Q9" s="12"/>
      <c r="R9" s="25" t="str">
        <f aca="false">IF(OR($J9="",$O9=""),"",IF($Q9&lt;&gt;"",$Q9,WORKDAY(Parámetros!$B$13-1,SUMIFS($O$5:$O$104,$P$5:$P$104,$P9,$J$5:$J$104,"&lt;"&amp;$J9)+1,Parámetros!$G$6:$G$25)))</f>
        <v/>
      </c>
      <c r="S9" s="25" t="str">
        <f aca="false">IF($R9="","",WORKDAY($R9-1,$O9,Parámetros!$G$6:$G$25))</f>
        <v/>
      </c>
      <c r="T9" s="12"/>
      <c r="U9" s="11"/>
      <c r="V9" s="22"/>
      <c r="W9" s="21"/>
      <c r="X9" s="21"/>
      <c r="Y9" s="21"/>
    </row>
    <row r="10" customFormat="false" ht="15" hidden="false" customHeight="false" outlineLevel="0" collapsed="false">
      <c r="A10" s="13"/>
      <c r="B10" s="21"/>
      <c r="C10" s="22"/>
      <c r="D10" s="13"/>
      <c r="E10" s="22"/>
      <c r="F10" s="22"/>
      <c r="G10" s="22"/>
      <c r="H10" s="22"/>
      <c r="I10" s="23" t="str">
        <f aca="false">IF(OR($A10="",$L10="Cerrado",COUNT($E10:$H10)&lt;4),"",$E10+$F10+$G10-$H10)</f>
        <v/>
      </c>
      <c r="J10" s="23" t="str">
        <f aca="false">IF($I10="","",RANK($I10,$I$5:$I$104)+COUNTIF($I$4:$I9,$I10))</f>
        <v/>
      </c>
      <c r="K10" s="22"/>
      <c r="L10" s="13"/>
      <c r="M10" s="22"/>
      <c r="N10" s="24" t="str">
        <f aca="false">IF(OR($A10="",$K10=""),"",INDEX(Parámetros!$B$32:$D$32,MATCH($K10,Parámetros!$B$22:$D$22,0)))</f>
        <v/>
      </c>
      <c r="O10" s="23" t="str">
        <f aca="false">IF($N10="","",ROUNDUP($N10/Parámetros!$B$19*(1+Parámetros!$B$17),0))</f>
        <v/>
      </c>
      <c r="P10" s="23" t="str">
        <f aca="false">IF($J10="","",MOD($J10-1,Parámetros!$B$16)+1)</f>
        <v/>
      </c>
      <c r="Q10" s="12"/>
      <c r="R10" s="25" t="str">
        <f aca="false">IF(OR($J10="",$O10=""),"",IF($Q10&lt;&gt;"",$Q10,WORKDAY(Parámetros!$B$13-1,SUMIFS($O$5:$O$104,$P$5:$P$104,$P10,$J$5:$J$104,"&lt;"&amp;$J10)+1,Parámetros!$G$6:$G$25)))</f>
        <v/>
      </c>
      <c r="S10" s="25" t="str">
        <f aca="false">IF($R10="","",WORKDAY($R10-1,$O10,Parámetros!$G$6:$G$25))</f>
        <v/>
      </c>
      <c r="T10" s="12"/>
      <c r="U10" s="11"/>
      <c r="V10" s="22"/>
      <c r="W10" s="21"/>
      <c r="X10" s="21"/>
      <c r="Y10" s="21"/>
    </row>
    <row r="11" customFormat="false" ht="15" hidden="false" customHeight="false" outlineLevel="0" collapsed="false">
      <c r="A11" s="13"/>
      <c r="B11" s="21"/>
      <c r="C11" s="22"/>
      <c r="D11" s="13"/>
      <c r="E11" s="22"/>
      <c r="F11" s="22"/>
      <c r="G11" s="22"/>
      <c r="H11" s="22"/>
      <c r="I11" s="23" t="str">
        <f aca="false">IF(OR($A11="",$L11="Cerrado",COUNT($E11:$H11)&lt;4),"",$E11+$F11+$G11-$H11)</f>
        <v/>
      </c>
      <c r="J11" s="23" t="str">
        <f aca="false">IF($I11="","",RANK($I11,$I$5:$I$104)+COUNTIF($I$4:$I10,$I11))</f>
        <v/>
      </c>
      <c r="K11" s="22"/>
      <c r="L11" s="13"/>
      <c r="M11" s="22"/>
      <c r="N11" s="24" t="str">
        <f aca="false">IF(OR($A11="",$K11=""),"",INDEX(Parámetros!$B$32:$D$32,MATCH($K11,Parámetros!$B$22:$D$22,0)))</f>
        <v/>
      </c>
      <c r="O11" s="23" t="str">
        <f aca="false">IF($N11="","",ROUNDUP($N11/Parámetros!$B$19*(1+Parámetros!$B$17),0))</f>
        <v/>
      </c>
      <c r="P11" s="23" t="str">
        <f aca="false">IF($J11="","",MOD($J11-1,Parámetros!$B$16)+1)</f>
        <v/>
      </c>
      <c r="Q11" s="12"/>
      <c r="R11" s="25" t="str">
        <f aca="false">IF(OR($J11="",$O11=""),"",IF($Q11&lt;&gt;"",$Q11,WORKDAY(Parámetros!$B$13-1,SUMIFS($O$5:$O$104,$P$5:$P$104,$P11,$J$5:$J$104,"&lt;"&amp;$J11)+1,Parámetros!$G$6:$G$25)))</f>
        <v/>
      </c>
      <c r="S11" s="25" t="str">
        <f aca="false">IF($R11="","",WORKDAY($R11-1,$O11,Parámetros!$G$6:$G$25))</f>
        <v/>
      </c>
      <c r="T11" s="12"/>
      <c r="U11" s="11"/>
      <c r="V11" s="22"/>
      <c r="W11" s="21"/>
      <c r="X11" s="21"/>
      <c r="Y11" s="21"/>
    </row>
    <row r="12" customFormat="false" ht="15" hidden="false" customHeight="false" outlineLevel="0" collapsed="false">
      <c r="A12" s="13"/>
      <c r="B12" s="21"/>
      <c r="C12" s="22"/>
      <c r="D12" s="13"/>
      <c r="E12" s="22"/>
      <c r="F12" s="22"/>
      <c r="G12" s="22"/>
      <c r="H12" s="22"/>
      <c r="I12" s="23" t="str">
        <f aca="false">IF(OR($A12="",$L12="Cerrado",COUNT($E12:$H12)&lt;4),"",$E12+$F12+$G12-$H12)</f>
        <v/>
      </c>
      <c r="J12" s="23" t="str">
        <f aca="false">IF($I12="","",RANK($I12,$I$5:$I$104)+COUNTIF($I$4:$I11,$I12))</f>
        <v/>
      </c>
      <c r="K12" s="22"/>
      <c r="L12" s="13"/>
      <c r="M12" s="22"/>
      <c r="N12" s="24" t="str">
        <f aca="false">IF(OR($A12="",$K12=""),"",INDEX(Parámetros!$B$32:$D$32,MATCH($K12,Parámetros!$B$22:$D$22,0)))</f>
        <v/>
      </c>
      <c r="O12" s="23" t="str">
        <f aca="false">IF($N12="","",ROUNDUP($N12/Parámetros!$B$19*(1+Parámetros!$B$17),0))</f>
        <v/>
      </c>
      <c r="P12" s="23" t="str">
        <f aca="false">IF($J12="","",MOD($J12-1,Parámetros!$B$16)+1)</f>
        <v/>
      </c>
      <c r="Q12" s="12"/>
      <c r="R12" s="25" t="str">
        <f aca="false">IF(OR($J12="",$O12=""),"",IF($Q12&lt;&gt;"",$Q12,WORKDAY(Parámetros!$B$13-1,SUMIFS($O$5:$O$104,$P$5:$P$104,$P12,$J$5:$J$104,"&lt;"&amp;$J12)+1,Parámetros!$G$6:$G$25)))</f>
        <v/>
      </c>
      <c r="S12" s="25" t="str">
        <f aca="false">IF($R12="","",WORKDAY($R12-1,$O12,Parámetros!$G$6:$G$25))</f>
        <v/>
      </c>
      <c r="T12" s="12"/>
      <c r="U12" s="11"/>
      <c r="V12" s="22"/>
      <c r="W12" s="21"/>
      <c r="X12" s="21"/>
      <c r="Y12" s="21"/>
    </row>
    <row r="13" customFormat="false" ht="15" hidden="false" customHeight="false" outlineLevel="0" collapsed="false">
      <c r="A13" s="13"/>
      <c r="B13" s="21"/>
      <c r="C13" s="22"/>
      <c r="D13" s="13"/>
      <c r="E13" s="22"/>
      <c r="F13" s="22"/>
      <c r="G13" s="22"/>
      <c r="H13" s="22"/>
      <c r="I13" s="23" t="str">
        <f aca="false">IF(OR($A13="",$L13="Cerrado",COUNT($E13:$H13)&lt;4),"",$E13+$F13+$G13-$H13)</f>
        <v/>
      </c>
      <c r="J13" s="23" t="str">
        <f aca="false">IF($I13="","",RANK($I13,$I$5:$I$104)+COUNTIF($I$4:$I12,$I13))</f>
        <v/>
      </c>
      <c r="K13" s="22"/>
      <c r="L13" s="13"/>
      <c r="M13" s="22"/>
      <c r="N13" s="24" t="str">
        <f aca="false">IF(OR($A13="",$K13=""),"",INDEX(Parámetros!$B$32:$D$32,MATCH($K13,Parámetros!$B$22:$D$22,0)))</f>
        <v/>
      </c>
      <c r="O13" s="23" t="str">
        <f aca="false">IF($N13="","",ROUNDUP($N13/Parámetros!$B$19*(1+Parámetros!$B$17),0))</f>
        <v/>
      </c>
      <c r="P13" s="23" t="str">
        <f aca="false">IF($J13="","",MOD($J13-1,Parámetros!$B$16)+1)</f>
        <v/>
      </c>
      <c r="Q13" s="12"/>
      <c r="R13" s="25" t="str">
        <f aca="false">IF(OR($J13="",$O13=""),"",IF($Q13&lt;&gt;"",$Q13,WORKDAY(Parámetros!$B$13-1,SUMIFS($O$5:$O$104,$P$5:$P$104,$P13,$J$5:$J$104,"&lt;"&amp;$J13)+1,Parámetros!$G$6:$G$25)))</f>
        <v/>
      </c>
      <c r="S13" s="25" t="str">
        <f aca="false">IF($R13="","",WORKDAY($R13-1,$O13,Parámetros!$G$6:$G$25))</f>
        <v/>
      </c>
      <c r="T13" s="12"/>
      <c r="U13" s="11"/>
      <c r="V13" s="22"/>
      <c r="W13" s="21"/>
      <c r="X13" s="21"/>
      <c r="Y13" s="21"/>
    </row>
    <row r="14" customFormat="false" ht="15" hidden="false" customHeight="false" outlineLevel="0" collapsed="false">
      <c r="A14" s="13"/>
      <c r="B14" s="21"/>
      <c r="C14" s="22"/>
      <c r="D14" s="13"/>
      <c r="E14" s="22"/>
      <c r="F14" s="22"/>
      <c r="G14" s="22"/>
      <c r="H14" s="22"/>
      <c r="I14" s="23" t="str">
        <f aca="false">IF(OR($A14="",$L14="Cerrado",COUNT($E14:$H14)&lt;4),"",$E14+$F14+$G14-$H14)</f>
        <v/>
      </c>
      <c r="J14" s="23" t="str">
        <f aca="false">IF($I14="","",RANK($I14,$I$5:$I$104)+COUNTIF($I$4:$I13,$I14))</f>
        <v/>
      </c>
      <c r="K14" s="22"/>
      <c r="L14" s="13"/>
      <c r="M14" s="22"/>
      <c r="N14" s="24" t="str">
        <f aca="false">IF(OR($A14="",$K14=""),"",INDEX(Parámetros!$B$32:$D$32,MATCH($K14,Parámetros!$B$22:$D$22,0)))</f>
        <v/>
      </c>
      <c r="O14" s="23" t="str">
        <f aca="false">IF($N14="","",ROUNDUP($N14/Parámetros!$B$19*(1+Parámetros!$B$17),0))</f>
        <v/>
      </c>
      <c r="P14" s="23" t="str">
        <f aca="false">IF($J14="","",MOD($J14-1,Parámetros!$B$16)+1)</f>
        <v/>
      </c>
      <c r="Q14" s="12"/>
      <c r="R14" s="25" t="str">
        <f aca="false">IF(OR($J14="",$O14=""),"",IF($Q14&lt;&gt;"",$Q14,WORKDAY(Parámetros!$B$13-1,SUMIFS($O$5:$O$104,$P$5:$P$104,$P14,$J$5:$J$104,"&lt;"&amp;$J14)+1,Parámetros!$G$6:$G$25)))</f>
        <v/>
      </c>
      <c r="S14" s="25" t="str">
        <f aca="false">IF($R14="","",WORKDAY($R14-1,$O14,Parámetros!$G$6:$G$25))</f>
        <v/>
      </c>
      <c r="T14" s="12"/>
      <c r="U14" s="11"/>
      <c r="V14" s="22"/>
      <c r="W14" s="21"/>
      <c r="X14" s="21"/>
      <c r="Y14" s="21"/>
    </row>
    <row r="15" customFormat="false" ht="15" hidden="false" customHeight="false" outlineLevel="0" collapsed="false">
      <c r="A15" s="13"/>
      <c r="B15" s="21"/>
      <c r="C15" s="22"/>
      <c r="D15" s="13"/>
      <c r="E15" s="22"/>
      <c r="F15" s="22"/>
      <c r="G15" s="22"/>
      <c r="H15" s="22"/>
      <c r="I15" s="23" t="str">
        <f aca="false">IF(OR($A15="",$L15="Cerrado",COUNT($E15:$H15)&lt;4),"",$E15+$F15+$G15-$H15)</f>
        <v/>
      </c>
      <c r="J15" s="23" t="str">
        <f aca="false">IF($I15="","",RANK($I15,$I$5:$I$104)+COUNTIF($I$4:$I14,$I15))</f>
        <v/>
      </c>
      <c r="K15" s="22"/>
      <c r="L15" s="13"/>
      <c r="M15" s="22"/>
      <c r="N15" s="24" t="str">
        <f aca="false">IF(OR($A15="",$K15=""),"",INDEX(Parámetros!$B$32:$D$32,MATCH($K15,Parámetros!$B$22:$D$22,0)))</f>
        <v/>
      </c>
      <c r="O15" s="23" t="str">
        <f aca="false">IF($N15="","",ROUNDUP($N15/Parámetros!$B$19*(1+Parámetros!$B$17),0))</f>
        <v/>
      </c>
      <c r="P15" s="23" t="str">
        <f aca="false">IF($J15="","",MOD($J15-1,Parámetros!$B$16)+1)</f>
        <v/>
      </c>
      <c r="Q15" s="12"/>
      <c r="R15" s="25" t="str">
        <f aca="false">IF(OR($J15="",$O15=""),"",IF($Q15&lt;&gt;"",$Q15,WORKDAY(Parámetros!$B$13-1,SUMIFS($O$5:$O$104,$P$5:$P$104,$P15,$J$5:$J$104,"&lt;"&amp;$J15)+1,Parámetros!$G$6:$G$25)))</f>
        <v/>
      </c>
      <c r="S15" s="25" t="str">
        <f aca="false">IF($R15="","",WORKDAY($R15-1,$O15,Parámetros!$G$6:$G$25))</f>
        <v/>
      </c>
      <c r="T15" s="12"/>
      <c r="U15" s="11"/>
      <c r="V15" s="22"/>
      <c r="W15" s="21"/>
      <c r="X15" s="21"/>
      <c r="Y15" s="21"/>
    </row>
    <row r="16" customFormat="false" ht="15" hidden="false" customHeight="false" outlineLevel="0" collapsed="false">
      <c r="A16" s="13"/>
      <c r="B16" s="21"/>
      <c r="C16" s="22"/>
      <c r="D16" s="13"/>
      <c r="E16" s="22"/>
      <c r="F16" s="22"/>
      <c r="G16" s="22"/>
      <c r="H16" s="22"/>
      <c r="I16" s="23" t="str">
        <f aca="false">IF(OR($A16="",$L16="Cerrado",COUNT($E16:$H16)&lt;4),"",$E16+$F16+$G16-$H16)</f>
        <v/>
      </c>
      <c r="J16" s="23" t="str">
        <f aca="false">IF($I16="","",RANK($I16,$I$5:$I$104)+COUNTIF($I$4:$I15,$I16))</f>
        <v/>
      </c>
      <c r="K16" s="22"/>
      <c r="L16" s="13"/>
      <c r="M16" s="22"/>
      <c r="N16" s="24" t="str">
        <f aca="false">IF(OR($A16="",$K16=""),"",INDEX(Parámetros!$B$32:$D$32,MATCH($K16,Parámetros!$B$22:$D$22,0)))</f>
        <v/>
      </c>
      <c r="O16" s="23" t="str">
        <f aca="false">IF($N16="","",ROUNDUP($N16/Parámetros!$B$19*(1+Parámetros!$B$17),0))</f>
        <v/>
      </c>
      <c r="P16" s="23" t="str">
        <f aca="false">IF($J16="","",MOD($J16-1,Parámetros!$B$16)+1)</f>
        <v/>
      </c>
      <c r="Q16" s="12"/>
      <c r="R16" s="25" t="str">
        <f aca="false">IF(OR($J16="",$O16=""),"",IF($Q16&lt;&gt;"",$Q16,WORKDAY(Parámetros!$B$13-1,SUMIFS($O$5:$O$104,$P$5:$P$104,$P16,$J$5:$J$104,"&lt;"&amp;$J16)+1,Parámetros!$G$6:$G$25)))</f>
        <v/>
      </c>
      <c r="S16" s="25" t="str">
        <f aca="false">IF($R16="","",WORKDAY($R16-1,$O16,Parámetros!$G$6:$G$25))</f>
        <v/>
      </c>
      <c r="T16" s="12"/>
      <c r="U16" s="11"/>
      <c r="V16" s="22"/>
      <c r="W16" s="21"/>
      <c r="X16" s="21"/>
      <c r="Y16" s="21"/>
    </row>
    <row r="17" customFormat="false" ht="15" hidden="false" customHeight="false" outlineLevel="0" collapsed="false">
      <c r="A17" s="13"/>
      <c r="B17" s="21"/>
      <c r="C17" s="22"/>
      <c r="D17" s="13"/>
      <c r="E17" s="22"/>
      <c r="F17" s="22"/>
      <c r="G17" s="22"/>
      <c r="H17" s="22"/>
      <c r="I17" s="23" t="str">
        <f aca="false">IF(OR($A17="",$L17="Cerrado",COUNT($E17:$H17)&lt;4),"",$E17+$F17+$G17-$H17)</f>
        <v/>
      </c>
      <c r="J17" s="23" t="str">
        <f aca="false">IF($I17="","",RANK($I17,$I$5:$I$104)+COUNTIF($I$4:$I16,$I17))</f>
        <v/>
      </c>
      <c r="K17" s="22"/>
      <c r="L17" s="13"/>
      <c r="M17" s="22"/>
      <c r="N17" s="24" t="str">
        <f aca="false">IF(OR($A17="",$K17=""),"",INDEX(Parámetros!$B$32:$D$32,MATCH($K17,Parámetros!$B$22:$D$22,0)))</f>
        <v/>
      </c>
      <c r="O17" s="23" t="str">
        <f aca="false">IF($N17="","",ROUNDUP($N17/Parámetros!$B$19*(1+Parámetros!$B$17),0))</f>
        <v/>
      </c>
      <c r="P17" s="23" t="str">
        <f aca="false">IF($J17="","",MOD($J17-1,Parámetros!$B$16)+1)</f>
        <v/>
      </c>
      <c r="Q17" s="12"/>
      <c r="R17" s="25" t="str">
        <f aca="false">IF(OR($J17="",$O17=""),"",IF($Q17&lt;&gt;"",$Q17,WORKDAY(Parámetros!$B$13-1,SUMIFS($O$5:$O$104,$P$5:$P$104,$P17,$J$5:$J$104,"&lt;"&amp;$J17)+1,Parámetros!$G$6:$G$25)))</f>
        <v/>
      </c>
      <c r="S17" s="25" t="str">
        <f aca="false">IF($R17="","",WORKDAY($R17-1,$O17,Parámetros!$G$6:$G$25))</f>
        <v/>
      </c>
      <c r="T17" s="12"/>
      <c r="U17" s="11"/>
      <c r="V17" s="22"/>
      <c r="W17" s="21"/>
      <c r="X17" s="21"/>
      <c r="Y17" s="21"/>
    </row>
    <row r="18" customFormat="false" ht="15" hidden="false" customHeight="false" outlineLevel="0" collapsed="false">
      <c r="A18" s="13"/>
      <c r="B18" s="21"/>
      <c r="C18" s="22"/>
      <c r="D18" s="13"/>
      <c r="E18" s="22"/>
      <c r="F18" s="22"/>
      <c r="G18" s="22"/>
      <c r="H18" s="22"/>
      <c r="I18" s="23" t="str">
        <f aca="false">IF(OR($A18="",$L18="Cerrado",COUNT($E18:$H18)&lt;4),"",$E18+$F18+$G18-$H18)</f>
        <v/>
      </c>
      <c r="J18" s="23" t="str">
        <f aca="false">IF($I18="","",RANK($I18,$I$5:$I$104)+COUNTIF($I$4:$I17,$I18))</f>
        <v/>
      </c>
      <c r="K18" s="22"/>
      <c r="L18" s="13"/>
      <c r="M18" s="22"/>
      <c r="N18" s="24" t="str">
        <f aca="false">IF(OR($A18="",$K18=""),"",INDEX(Parámetros!$B$32:$D$32,MATCH($K18,Parámetros!$B$22:$D$22,0)))</f>
        <v/>
      </c>
      <c r="O18" s="23" t="str">
        <f aca="false">IF($N18="","",ROUNDUP($N18/Parámetros!$B$19*(1+Parámetros!$B$17),0))</f>
        <v/>
      </c>
      <c r="P18" s="23" t="str">
        <f aca="false">IF($J18="","",MOD($J18-1,Parámetros!$B$16)+1)</f>
        <v/>
      </c>
      <c r="Q18" s="12"/>
      <c r="R18" s="25" t="str">
        <f aca="false">IF(OR($J18="",$O18=""),"",IF($Q18&lt;&gt;"",$Q18,WORKDAY(Parámetros!$B$13-1,SUMIFS($O$5:$O$104,$P$5:$P$104,$P18,$J$5:$J$104,"&lt;"&amp;$J18)+1,Parámetros!$G$6:$G$25)))</f>
        <v/>
      </c>
      <c r="S18" s="25" t="str">
        <f aca="false">IF($R18="","",WORKDAY($R18-1,$O18,Parámetros!$G$6:$G$25))</f>
        <v/>
      </c>
      <c r="T18" s="12"/>
      <c r="U18" s="11"/>
      <c r="V18" s="22"/>
      <c r="W18" s="21"/>
      <c r="X18" s="21"/>
      <c r="Y18" s="21"/>
    </row>
    <row r="19" customFormat="false" ht="15" hidden="false" customHeight="false" outlineLevel="0" collapsed="false">
      <c r="A19" s="13"/>
      <c r="B19" s="21"/>
      <c r="C19" s="22"/>
      <c r="D19" s="13"/>
      <c r="E19" s="22"/>
      <c r="F19" s="22"/>
      <c r="G19" s="22"/>
      <c r="H19" s="22"/>
      <c r="I19" s="23" t="str">
        <f aca="false">IF(OR($A19="",$L19="Cerrado",COUNT($E19:$H19)&lt;4),"",$E19+$F19+$G19-$H19)</f>
        <v/>
      </c>
      <c r="J19" s="23" t="str">
        <f aca="false">IF($I19="","",RANK($I19,$I$5:$I$104)+COUNTIF($I$4:$I18,$I19))</f>
        <v/>
      </c>
      <c r="K19" s="22"/>
      <c r="L19" s="13"/>
      <c r="M19" s="22"/>
      <c r="N19" s="24" t="str">
        <f aca="false">IF(OR($A19="",$K19=""),"",INDEX(Parámetros!$B$32:$D$32,MATCH($K19,Parámetros!$B$22:$D$22,0)))</f>
        <v/>
      </c>
      <c r="O19" s="23" t="str">
        <f aca="false">IF($N19="","",ROUNDUP($N19/Parámetros!$B$19*(1+Parámetros!$B$17),0))</f>
        <v/>
      </c>
      <c r="P19" s="23" t="str">
        <f aca="false">IF($J19="","",MOD($J19-1,Parámetros!$B$16)+1)</f>
        <v/>
      </c>
      <c r="Q19" s="12"/>
      <c r="R19" s="25" t="str">
        <f aca="false">IF(OR($J19="",$O19=""),"",IF($Q19&lt;&gt;"",$Q19,WORKDAY(Parámetros!$B$13-1,SUMIFS($O$5:$O$104,$P$5:$P$104,$P19,$J$5:$J$104,"&lt;"&amp;$J19)+1,Parámetros!$G$6:$G$25)))</f>
        <v/>
      </c>
      <c r="S19" s="25" t="str">
        <f aca="false">IF($R19="","",WORKDAY($R19-1,$O19,Parámetros!$G$6:$G$25))</f>
        <v/>
      </c>
      <c r="T19" s="12"/>
      <c r="U19" s="11"/>
      <c r="V19" s="22"/>
      <c r="W19" s="21"/>
      <c r="X19" s="21"/>
      <c r="Y19" s="21"/>
    </row>
    <row r="20" customFormat="false" ht="15" hidden="false" customHeight="false" outlineLevel="0" collapsed="false">
      <c r="A20" s="13"/>
      <c r="B20" s="21"/>
      <c r="C20" s="22"/>
      <c r="D20" s="13"/>
      <c r="E20" s="22"/>
      <c r="F20" s="22"/>
      <c r="G20" s="22"/>
      <c r="H20" s="22"/>
      <c r="I20" s="23" t="str">
        <f aca="false">IF(OR($A20="",$L20="Cerrado",COUNT($E20:$H20)&lt;4),"",$E20+$F20+$G20-$H20)</f>
        <v/>
      </c>
      <c r="J20" s="23" t="str">
        <f aca="false">IF($I20="","",RANK($I20,$I$5:$I$104)+COUNTIF($I$4:$I19,$I20))</f>
        <v/>
      </c>
      <c r="K20" s="22"/>
      <c r="L20" s="13"/>
      <c r="M20" s="22"/>
      <c r="N20" s="24" t="str">
        <f aca="false">IF(OR($A20="",$K20=""),"",INDEX(Parámetros!$B$32:$D$32,MATCH($K20,Parámetros!$B$22:$D$22,0)))</f>
        <v/>
      </c>
      <c r="O20" s="23" t="str">
        <f aca="false">IF($N20="","",ROUNDUP($N20/Parámetros!$B$19*(1+Parámetros!$B$17),0))</f>
        <v/>
      </c>
      <c r="P20" s="23" t="str">
        <f aca="false">IF($J20="","",MOD($J20-1,Parámetros!$B$16)+1)</f>
        <v/>
      </c>
      <c r="Q20" s="12"/>
      <c r="R20" s="25" t="str">
        <f aca="false">IF(OR($J20="",$O20=""),"",IF($Q20&lt;&gt;"",$Q20,WORKDAY(Parámetros!$B$13-1,SUMIFS($O$5:$O$104,$P$5:$P$104,$P20,$J$5:$J$104,"&lt;"&amp;$J20)+1,Parámetros!$G$6:$G$25)))</f>
        <v/>
      </c>
      <c r="S20" s="25" t="str">
        <f aca="false">IF($R20="","",WORKDAY($R20-1,$O20,Parámetros!$G$6:$G$25))</f>
        <v/>
      </c>
      <c r="T20" s="12"/>
      <c r="U20" s="11"/>
      <c r="V20" s="22"/>
      <c r="W20" s="21"/>
      <c r="X20" s="21"/>
      <c r="Y20" s="21"/>
    </row>
    <row r="21" customFormat="false" ht="15" hidden="false" customHeight="false" outlineLevel="0" collapsed="false">
      <c r="A21" s="13"/>
      <c r="B21" s="21"/>
      <c r="C21" s="22"/>
      <c r="D21" s="13"/>
      <c r="E21" s="22"/>
      <c r="F21" s="22"/>
      <c r="G21" s="22"/>
      <c r="H21" s="22"/>
      <c r="I21" s="23" t="str">
        <f aca="false">IF(OR($A21="",$L21="Cerrado",COUNT($E21:$H21)&lt;4),"",$E21+$F21+$G21-$H21)</f>
        <v/>
      </c>
      <c r="J21" s="23" t="str">
        <f aca="false">IF($I21="","",RANK($I21,$I$5:$I$104)+COUNTIF($I$4:$I20,$I21))</f>
        <v/>
      </c>
      <c r="K21" s="22"/>
      <c r="L21" s="13"/>
      <c r="M21" s="22"/>
      <c r="N21" s="24" t="str">
        <f aca="false">IF(OR($A21="",$K21=""),"",INDEX(Parámetros!$B$32:$D$32,MATCH($K21,Parámetros!$B$22:$D$22,0)))</f>
        <v/>
      </c>
      <c r="O21" s="23" t="str">
        <f aca="false">IF($N21="","",ROUNDUP($N21/Parámetros!$B$19*(1+Parámetros!$B$17),0))</f>
        <v/>
      </c>
      <c r="P21" s="23" t="str">
        <f aca="false">IF($J21="","",MOD($J21-1,Parámetros!$B$16)+1)</f>
        <v/>
      </c>
      <c r="Q21" s="12"/>
      <c r="R21" s="25" t="str">
        <f aca="false">IF(OR($J21="",$O21=""),"",IF($Q21&lt;&gt;"",$Q21,WORKDAY(Parámetros!$B$13-1,SUMIFS($O$5:$O$104,$P$5:$P$104,$P21,$J$5:$J$104,"&lt;"&amp;$J21)+1,Parámetros!$G$6:$G$25)))</f>
        <v/>
      </c>
      <c r="S21" s="25" t="str">
        <f aca="false">IF($R21="","",WORKDAY($R21-1,$O21,Parámetros!$G$6:$G$25))</f>
        <v/>
      </c>
      <c r="T21" s="12"/>
      <c r="U21" s="11"/>
      <c r="V21" s="22"/>
      <c r="W21" s="21"/>
      <c r="X21" s="21"/>
      <c r="Y21" s="21"/>
    </row>
    <row r="22" customFormat="false" ht="15" hidden="false" customHeight="false" outlineLevel="0" collapsed="false">
      <c r="A22" s="13"/>
      <c r="B22" s="21"/>
      <c r="C22" s="22"/>
      <c r="D22" s="13"/>
      <c r="E22" s="22"/>
      <c r="F22" s="22"/>
      <c r="G22" s="22"/>
      <c r="H22" s="22"/>
      <c r="I22" s="23" t="str">
        <f aca="false">IF(OR($A22="",$L22="Cerrado",COUNT($E22:$H22)&lt;4),"",$E22+$F22+$G22-$H22)</f>
        <v/>
      </c>
      <c r="J22" s="23" t="str">
        <f aca="false">IF($I22="","",RANK($I22,$I$5:$I$104)+COUNTIF($I$4:$I21,$I22))</f>
        <v/>
      </c>
      <c r="K22" s="22"/>
      <c r="L22" s="13"/>
      <c r="M22" s="22"/>
      <c r="N22" s="24" t="str">
        <f aca="false">IF(OR($A22="",$K22=""),"",INDEX(Parámetros!$B$32:$D$32,MATCH($K22,Parámetros!$B$22:$D$22,0)))</f>
        <v/>
      </c>
      <c r="O22" s="23" t="str">
        <f aca="false">IF($N22="","",ROUNDUP($N22/Parámetros!$B$19*(1+Parámetros!$B$17),0))</f>
        <v/>
      </c>
      <c r="P22" s="23" t="str">
        <f aca="false">IF($J22="","",MOD($J22-1,Parámetros!$B$16)+1)</f>
        <v/>
      </c>
      <c r="Q22" s="12"/>
      <c r="R22" s="25" t="str">
        <f aca="false">IF(OR($J22="",$O22=""),"",IF($Q22&lt;&gt;"",$Q22,WORKDAY(Parámetros!$B$13-1,SUMIFS($O$5:$O$104,$P$5:$P$104,$P22,$J$5:$J$104,"&lt;"&amp;$J22)+1,Parámetros!$G$6:$G$25)))</f>
        <v/>
      </c>
      <c r="S22" s="25" t="str">
        <f aca="false">IF($R22="","",WORKDAY($R22-1,$O22,Parámetros!$G$6:$G$25))</f>
        <v/>
      </c>
      <c r="T22" s="12"/>
      <c r="U22" s="11"/>
      <c r="V22" s="22"/>
      <c r="W22" s="21"/>
      <c r="X22" s="21"/>
      <c r="Y22" s="21"/>
    </row>
    <row r="23" customFormat="false" ht="15" hidden="false" customHeight="false" outlineLevel="0" collapsed="false">
      <c r="A23" s="13"/>
      <c r="B23" s="21"/>
      <c r="C23" s="22"/>
      <c r="D23" s="13"/>
      <c r="E23" s="22"/>
      <c r="F23" s="22"/>
      <c r="G23" s="22"/>
      <c r="H23" s="22"/>
      <c r="I23" s="23" t="str">
        <f aca="false">IF(OR($A23="",$L23="Cerrado",COUNT($E23:$H23)&lt;4),"",$E23+$F23+$G23-$H23)</f>
        <v/>
      </c>
      <c r="J23" s="23" t="str">
        <f aca="false">IF($I23="","",RANK($I23,$I$5:$I$104)+COUNTIF($I$4:$I22,$I23))</f>
        <v/>
      </c>
      <c r="K23" s="22"/>
      <c r="L23" s="13"/>
      <c r="M23" s="22"/>
      <c r="N23" s="24" t="str">
        <f aca="false">IF(OR($A23="",$K23=""),"",INDEX(Parámetros!$B$32:$D$32,MATCH($K23,Parámetros!$B$22:$D$22,0)))</f>
        <v/>
      </c>
      <c r="O23" s="23" t="str">
        <f aca="false">IF($N23="","",ROUNDUP($N23/Parámetros!$B$19*(1+Parámetros!$B$17),0))</f>
        <v/>
      </c>
      <c r="P23" s="23" t="str">
        <f aca="false">IF($J23="","",MOD($J23-1,Parámetros!$B$16)+1)</f>
        <v/>
      </c>
      <c r="Q23" s="12"/>
      <c r="R23" s="25" t="str">
        <f aca="false">IF(OR($J23="",$O23=""),"",IF($Q23&lt;&gt;"",$Q23,WORKDAY(Parámetros!$B$13-1,SUMIFS($O$5:$O$104,$P$5:$P$104,$P23,$J$5:$J$104,"&lt;"&amp;$J23)+1,Parámetros!$G$6:$G$25)))</f>
        <v/>
      </c>
      <c r="S23" s="25" t="str">
        <f aca="false">IF($R23="","",WORKDAY($R23-1,$O23,Parámetros!$G$6:$G$25))</f>
        <v/>
      </c>
      <c r="T23" s="12"/>
      <c r="U23" s="11"/>
      <c r="V23" s="22"/>
      <c r="W23" s="21"/>
      <c r="X23" s="21"/>
      <c r="Y23" s="21"/>
    </row>
    <row r="24" customFormat="false" ht="15" hidden="false" customHeight="false" outlineLevel="0" collapsed="false">
      <c r="A24" s="13"/>
      <c r="B24" s="21"/>
      <c r="C24" s="22"/>
      <c r="D24" s="13"/>
      <c r="E24" s="22"/>
      <c r="F24" s="22"/>
      <c r="G24" s="22"/>
      <c r="H24" s="22"/>
      <c r="I24" s="23" t="str">
        <f aca="false">IF(OR($A24="",$L24="Cerrado",COUNT($E24:$H24)&lt;4),"",$E24+$F24+$G24-$H24)</f>
        <v/>
      </c>
      <c r="J24" s="23" t="str">
        <f aca="false">IF($I24="","",RANK($I24,$I$5:$I$104)+COUNTIF($I$4:$I23,$I24))</f>
        <v/>
      </c>
      <c r="K24" s="22"/>
      <c r="L24" s="13"/>
      <c r="M24" s="22"/>
      <c r="N24" s="24" t="str">
        <f aca="false">IF(OR($A24="",$K24=""),"",INDEX(Parámetros!$B$32:$D$32,MATCH($K24,Parámetros!$B$22:$D$22,0)))</f>
        <v/>
      </c>
      <c r="O24" s="23" t="str">
        <f aca="false">IF($N24="","",ROUNDUP($N24/Parámetros!$B$19*(1+Parámetros!$B$17),0))</f>
        <v/>
      </c>
      <c r="P24" s="23" t="str">
        <f aca="false">IF($J24="","",MOD($J24-1,Parámetros!$B$16)+1)</f>
        <v/>
      </c>
      <c r="Q24" s="12"/>
      <c r="R24" s="25" t="str">
        <f aca="false">IF(OR($J24="",$O24=""),"",IF($Q24&lt;&gt;"",$Q24,WORKDAY(Parámetros!$B$13-1,SUMIFS($O$5:$O$104,$P$5:$P$104,$P24,$J$5:$J$104,"&lt;"&amp;$J24)+1,Parámetros!$G$6:$G$25)))</f>
        <v/>
      </c>
      <c r="S24" s="25" t="str">
        <f aca="false">IF($R24="","",WORKDAY($R24-1,$O24,Parámetros!$G$6:$G$25))</f>
        <v/>
      </c>
      <c r="T24" s="12"/>
      <c r="U24" s="11"/>
      <c r="V24" s="22"/>
      <c r="W24" s="21"/>
      <c r="X24" s="21"/>
      <c r="Y24" s="21"/>
    </row>
    <row r="25" customFormat="false" ht="15" hidden="false" customHeight="false" outlineLevel="0" collapsed="false">
      <c r="A25" s="13"/>
      <c r="B25" s="21"/>
      <c r="C25" s="22"/>
      <c r="D25" s="13"/>
      <c r="E25" s="22"/>
      <c r="F25" s="22"/>
      <c r="G25" s="22"/>
      <c r="H25" s="22"/>
      <c r="I25" s="23" t="str">
        <f aca="false">IF(OR($A25="",$L25="Cerrado",COUNT($E25:$H25)&lt;4),"",$E25+$F25+$G25-$H25)</f>
        <v/>
      </c>
      <c r="J25" s="23" t="str">
        <f aca="false">IF($I25="","",RANK($I25,$I$5:$I$104)+COUNTIF($I$4:$I24,$I25))</f>
        <v/>
      </c>
      <c r="K25" s="22"/>
      <c r="L25" s="13"/>
      <c r="M25" s="22"/>
      <c r="N25" s="24" t="str">
        <f aca="false">IF(OR($A25="",$K25=""),"",INDEX(Parámetros!$B$32:$D$32,MATCH($K25,Parámetros!$B$22:$D$22,0)))</f>
        <v/>
      </c>
      <c r="O25" s="23" t="str">
        <f aca="false">IF($N25="","",ROUNDUP($N25/Parámetros!$B$19*(1+Parámetros!$B$17),0))</f>
        <v/>
      </c>
      <c r="P25" s="23" t="str">
        <f aca="false">IF($J25="","",MOD($J25-1,Parámetros!$B$16)+1)</f>
        <v/>
      </c>
      <c r="Q25" s="12"/>
      <c r="R25" s="25" t="str">
        <f aca="false">IF(OR($J25="",$O25=""),"",IF($Q25&lt;&gt;"",$Q25,WORKDAY(Parámetros!$B$13-1,SUMIFS($O$5:$O$104,$P$5:$P$104,$P25,$J$5:$J$104,"&lt;"&amp;$J25)+1,Parámetros!$G$6:$G$25)))</f>
        <v/>
      </c>
      <c r="S25" s="25" t="str">
        <f aca="false">IF($R25="","",WORKDAY($R25-1,$O25,Parámetros!$G$6:$G$25))</f>
        <v/>
      </c>
      <c r="T25" s="12"/>
      <c r="U25" s="11"/>
      <c r="V25" s="22"/>
      <c r="W25" s="21"/>
      <c r="X25" s="21"/>
      <c r="Y25" s="21"/>
    </row>
    <row r="26" customFormat="false" ht="15" hidden="false" customHeight="false" outlineLevel="0" collapsed="false">
      <c r="A26" s="13"/>
      <c r="B26" s="21"/>
      <c r="C26" s="22"/>
      <c r="D26" s="13"/>
      <c r="E26" s="22"/>
      <c r="F26" s="22"/>
      <c r="G26" s="22"/>
      <c r="H26" s="22"/>
      <c r="I26" s="23" t="str">
        <f aca="false">IF(OR($A26="",$L26="Cerrado",COUNT($E26:$H26)&lt;4),"",$E26+$F26+$G26-$H26)</f>
        <v/>
      </c>
      <c r="J26" s="23" t="str">
        <f aca="false">IF($I26="","",RANK($I26,$I$5:$I$104)+COUNTIF($I$4:$I25,$I26))</f>
        <v/>
      </c>
      <c r="K26" s="22"/>
      <c r="L26" s="13"/>
      <c r="M26" s="22"/>
      <c r="N26" s="24" t="str">
        <f aca="false">IF(OR($A26="",$K26=""),"",INDEX(Parámetros!$B$32:$D$32,MATCH($K26,Parámetros!$B$22:$D$22,0)))</f>
        <v/>
      </c>
      <c r="O26" s="23" t="str">
        <f aca="false">IF($N26="","",ROUNDUP($N26/Parámetros!$B$19*(1+Parámetros!$B$17),0))</f>
        <v/>
      </c>
      <c r="P26" s="23" t="str">
        <f aca="false">IF($J26="","",MOD($J26-1,Parámetros!$B$16)+1)</f>
        <v/>
      </c>
      <c r="Q26" s="12"/>
      <c r="R26" s="25" t="str">
        <f aca="false">IF(OR($J26="",$O26=""),"",IF($Q26&lt;&gt;"",$Q26,WORKDAY(Parámetros!$B$13-1,SUMIFS($O$5:$O$104,$P$5:$P$104,$P26,$J$5:$J$104,"&lt;"&amp;$J26)+1,Parámetros!$G$6:$G$25)))</f>
        <v/>
      </c>
      <c r="S26" s="25" t="str">
        <f aca="false">IF($R26="","",WORKDAY($R26-1,$O26,Parámetros!$G$6:$G$25))</f>
        <v/>
      </c>
      <c r="T26" s="12"/>
      <c r="U26" s="11"/>
      <c r="V26" s="22"/>
      <c r="W26" s="21"/>
      <c r="X26" s="21"/>
      <c r="Y26" s="21"/>
    </row>
    <row r="27" customFormat="false" ht="15" hidden="false" customHeight="false" outlineLevel="0" collapsed="false">
      <c r="A27" s="13"/>
      <c r="B27" s="21"/>
      <c r="C27" s="22"/>
      <c r="D27" s="13"/>
      <c r="E27" s="22"/>
      <c r="F27" s="22"/>
      <c r="G27" s="22"/>
      <c r="H27" s="22"/>
      <c r="I27" s="23" t="str">
        <f aca="false">IF(OR($A27="",$L27="Cerrado",COUNT($E27:$H27)&lt;4),"",$E27+$F27+$G27-$H27)</f>
        <v/>
      </c>
      <c r="J27" s="23" t="str">
        <f aca="false">IF($I27="","",RANK($I27,$I$5:$I$104)+COUNTIF($I$4:$I26,$I27))</f>
        <v/>
      </c>
      <c r="K27" s="22"/>
      <c r="L27" s="13"/>
      <c r="M27" s="22"/>
      <c r="N27" s="24" t="str">
        <f aca="false">IF(OR($A27="",$K27=""),"",INDEX(Parámetros!$B$32:$D$32,MATCH($K27,Parámetros!$B$22:$D$22,0)))</f>
        <v/>
      </c>
      <c r="O27" s="23" t="str">
        <f aca="false">IF($N27="","",ROUNDUP($N27/Parámetros!$B$19*(1+Parámetros!$B$17),0))</f>
        <v/>
      </c>
      <c r="P27" s="23" t="str">
        <f aca="false">IF($J27="","",MOD($J27-1,Parámetros!$B$16)+1)</f>
        <v/>
      </c>
      <c r="Q27" s="12"/>
      <c r="R27" s="25" t="str">
        <f aca="false">IF(OR($J27="",$O27=""),"",IF($Q27&lt;&gt;"",$Q27,WORKDAY(Parámetros!$B$13-1,SUMIFS($O$5:$O$104,$P$5:$P$104,$P27,$J$5:$J$104,"&lt;"&amp;$J27)+1,Parámetros!$G$6:$G$25)))</f>
        <v/>
      </c>
      <c r="S27" s="25" t="str">
        <f aca="false">IF($R27="","",WORKDAY($R27-1,$O27,Parámetros!$G$6:$G$25))</f>
        <v/>
      </c>
      <c r="T27" s="12"/>
      <c r="U27" s="11"/>
      <c r="V27" s="22"/>
      <c r="W27" s="21"/>
      <c r="X27" s="21"/>
      <c r="Y27" s="21"/>
    </row>
    <row r="28" customFormat="false" ht="15" hidden="false" customHeight="false" outlineLevel="0" collapsed="false">
      <c r="A28" s="13"/>
      <c r="B28" s="21"/>
      <c r="C28" s="22"/>
      <c r="D28" s="13"/>
      <c r="E28" s="22"/>
      <c r="F28" s="22"/>
      <c r="G28" s="22"/>
      <c r="H28" s="22"/>
      <c r="I28" s="23" t="str">
        <f aca="false">IF(OR($A28="",$L28="Cerrado",COUNT($E28:$H28)&lt;4),"",$E28+$F28+$G28-$H28)</f>
        <v/>
      </c>
      <c r="J28" s="23" t="str">
        <f aca="false">IF($I28="","",RANK($I28,$I$5:$I$104)+COUNTIF($I$4:$I27,$I28))</f>
        <v/>
      </c>
      <c r="K28" s="22"/>
      <c r="L28" s="13"/>
      <c r="M28" s="22"/>
      <c r="N28" s="24" t="str">
        <f aca="false">IF(OR($A28="",$K28=""),"",INDEX(Parámetros!$B$32:$D$32,MATCH($K28,Parámetros!$B$22:$D$22,0)))</f>
        <v/>
      </c>
      <c r="O28" s="23" t="str">
        <f aca="false">IF($N28="","",ROUNDUP($N28/Parámetros!$B$19*(1+Parámetros!$B$17),0))</f>
        <v/>
      </c>
      <c r="P28" s="23" t="str">
        <f aca="false">IF($J28="","",MOD($J28-1,Parámetros!$B$16)+1)</f>
        <v/>
      </c>
      <c r="Q28" s="12"/>
      <c r="R28" s="25" t="str">
        <f aca="false">IF(OR($J28="",$O28=""),"",IF($Q28&lt;&gt;"",$Q28,WORKDAY(Parámetros!$B$13-1,SUMIFS($O$5:$O$104,$P$5:$P$104,$P28,$J$5:$J$104,"&lt;"&amp;$J28)+1,Parámetros!$G$6:$G$25)))</f>
        <v/>
      </c>
      <c r="S28" s="25" t="str">
        <f aca="false">IF($R28="","",WORKDAY($R28-1,$O28,Parámetros!$G$6:$G$25))</f>
        <v/>
      </c>
      <c r="T28" s="12"/>
      <c r="U28" s="11"/>
      <c r="V28" s="22"/>
      <c r="W28" s="21"/>
      <c r="X28" s="21"/>
      <c r="Y28" s="21"/>
    </row>
    <row r="29" customFormat="false" ht="15" hidden="false" customHeight="false" outlineLevel="0" collapsed="false">
      <c r="A29" s="13"/>
      <c r="B29" s="21"/>
      <c r="C29" s="22"/>
      <c r="D29" s="13"/>
      <c r="E29" s="22"/>
      <c r="F29" s="22"/>
      <c r="G29" s="22"/>
      <c r="H29" s="22"/>
      <c r="I29" s="23" t="str">
        <f aca="false">IF(OR($A29="",$L29="Cerrado",COUNT($E29:$H29)&lt;4),"",$E29+$F29+$G29-$H29)</f>
        <v/>
      </c>
      <c r="J29" s="23" t="str">
        <f aca="false">IF($I29="","",RANK($I29,$I$5:$I$104)+COUNTIF($I$4:$I28,$I29))</f>
        <v/>
      </c>
      <c r="K29" s="22"/>
      <c r="L29" s="13"/>
      <c r="M29" s="22"/>
      <c r="N29" s="24" t="str">
        <f aca="false">IF(OR($A29="",$K29=""),"",INDEX(Parámetros!$B$32:$D$32,MATCH($K29,Parámetros!$B$22:$D$22,0)))</f>
        <v/>
      </c>
      <c r="O29" s="23" t="str">
        <f aca="false">IF($N29="","",ROUNDUP($N29/Parámetros!$B$19*(1+Parámetros!$B$17),0))</f>
        <v/>
      </c>
      <c r="P29" s="23" t="str">
        <f aca="false">IF($J29="","",MOD($J29-1,Parámetros!$B$16)+1)</f>
        <v/>
      </c>
      <c r="Q29" s="12"/>
      <c r="R29" s="25" t="str">
        <f aca="false">IF(OR($J29="",$O29=""),"",IF($Q29&lt;&gt;"",$Q29,WORKDAY(Parámetros!$B$13-1,SUMIFS($O$5:$O$104,$P$5:$P$104,$P29,$J$5:$J$104,"&lt;"&amp;$J29)+1,Parámetros!$G$6:$G$25)))</f>
        <v/>
      </c>
      <c r="S29" s="25" t="str">
        <f aca="false">IF($R29="","",WORKDAY($R29-1,$O29,Parámetros!$G$6:$G$25))</f>
        <v/>
      </c>
      <c r="T29" s="12"/>
      <c r="U29" s="11"/>
      <c r="V29" s="22"/>
      <c r="W29" s="21"/>
      <c r="X29" s="21"/>
      <c r="Y29" s="21"/>
    </row>
    <row r="30" customFormat="false" ht="15" hidden="false" customHeight="false" outlineLevel="0" collapsed="false">
      <c r="A30" s="13"/>
      <c r="B30" s="21"/>
      <c r="C30" s="22"/>
      <c r="D30" s="13"/>
      <c r="E30" s="22"/>
      <c r="F30" s="22"/>
      <c r="G30" s="22"/>
      <c r="H30" s="22"/>
      <c r="I30" s="23" t="str">
        <f aca="false">IF(OR($A30="",$L30="Cerrado",COUNT($E30:$H30)&lt;4),"",$E30+$F30+$G30-$H30)</f>
        <v/>
      </c>
      <c r="J30" s="23" t="str">
        <f aca="false">IF($I30="","",RANK($I30,$I$5:$I$104)+COUNTIF($I$4:$I29,$I30))</f>
        <v/>
      </c>
      <c r="K30" s="22"/>
      <c r="L30" s="13"/>
      <c r="M30" s="22"/>
      <c r="N30" s="24" t="str">
        <f aca="false">IF(OR($A30="",$K30=""),"",INDEX(Parámetros!$B$32:$D$32,MATCH($K30,Parámetros!$B$22:$D$22,0)))</f>
        <v/>
      </c>
      <c r="O30" s="23" t="str">
        <f aca="false">IF($N30="","",ROUNDUP($N30/Parámetros!$B$19*(1+Parámetros!$B$17),0))</f>
        <v/>
      </c>
      <c r="P30" s="23" t="str">
        <f aca="false">IF($J30="","",MOD($J30-1,Parámetros!$B$16)+1)</f>
        <v/>
      </c>
      <c r="Q30" s="12"/>
      <c r="R30" s="25" t="str">
        <f aca="false">IF(OR($J30="",$O30=""),"",IF($Q30&lt;&gt;"",$Q30,WORKDAY(Parámetros!$B$13-1,SUMIFS($O$5:$O$104,$P$5:$P$104,$P30,$J$5:$J$104,"&lt;"&amp;$J30)+1,Parámetros!$G$6:$G$25)))</f>
        <v/>
      </c>
      <c r="S30" s="25" t="str">
        <f aca="false">IF($R30="","",WORKDAY($R30-1,$O30,Parámetros!$G$6:$G$25))</f>
        <v/>
      </c>
      <c r="T30" s="12"/>
      <c r="U30" s="11"/>
      <c r="V30" s="22"/>
      <c r="W30" s="21"/>
      <c r="X30" s="21"/>
      <c r="Y30" s="21"/>
    </row>
    <row r="31" customFormat="false" ht="15" hidden="false" customHeight="false" outlineLevel="0" collapsed="false">
      <c r="A31" s="13"/>
      <c r="B31" s="21"/>
      <c r="C31" s="22"/>
      <c r="D31" s="13"/>
      <c r="E31" s="22"/>
      <c r="F31" s="22"/>
      <c r="G31" s="22"/>
      <c r="H31" s="22"/>
      <c r="I31" s="23" t="str">
        <f aca="false">IF(OR($A31="",$L31="Cerrado",COUNT($E31:$H31)&lt;4),"",$E31+$F31+$G31-$H31)</f>
        <v/>
      </c>
      <c r="J31" s="23" t="str">
        <f aca="false">IF($I31="","",RANK($I31,$I$5:$I$104)+COUNTIF($I$4:$I30,$I31))</f>
        <v/>
      </c>
      <c r="K31" s="22"/>
      <c r="L31" s="13"/>
      <c r="M31" s="22"/>
      <c r="N31" s="24" t="str">
        <f aca="false">IF(OR($A31="",$K31=""),"",INDEX(Parámetros!$B$32:$D$32,MATCH($K31,Parámetros!$B$22:$D$22,0)))</f>
        <v/>
      </c>
      <c r="O31" s="23" t="str">
        <f aca="false">IF($N31="","",ROUNDUP($N31/Parámetros!$B$19*(1+Parámetros!$B$17),0))</f>
        <v/>
      </c>
      <c r="P31" s="23" t="str">
        <f aca="false">IF($J31="","",MOD($J31-1,Parámetros!$B$16)+1)</f>
        <v/>
      </c>
      <c r="Q31" s="12"/>
      <c r="R31" s="25" t="str">
        <f aca="false">IF(OR($J31="",$O31=""),"",IF($Q31&lt;&gt;"",$Q31,WORKDAY(Parámetros!$B$13-1,SUMIFS($O$5:$O$104,$P$5:$P$104,$P31,$J$5:$J$104,"&lt;"&amp;$J31)+1,Parámetros!$G$6:$G$25)))</f>
        <v/>
      </c>
      <c r="S31" s="25" t="str">
        <f aca="false">IF($R31="","",WORKDAY($R31-1,$O31,Parámetros!$G$6:$G$25))</f>
        <v/>
      </c>
      <c r="T31" s="12"/>
      <c r="U31" s="11"/>
      <c r="V31" s="22"/>
      <c r="W31" s="21"/>
      <c r="X31" s="21"/>
      <c r="Y31" s="21"/>
    </row>
    <row r="32" customFormat="false" ht="15" hidden="false" customHeight="false" outlineLevel="0" collapsed="false">
      <c r="A32" s="13"/>
      <c r="B32" s="21"/>
      <c r="C32" s="22"/>
      <c r="D32" s="13"/>
      <c r="E32" s="22"/>
      <c r="F32" s="22"/>
      <c r="G32" s="22"/>
      <c r="H32" s="22"/>
      <c r="I32" s="23" t="str">
        <f aca="false">IF(OR($A32="",$L32="Cerrado",COUNT($E32:$H32)&lt;4),"",$E32+$F32+$G32-$H32)</f>
        <v/>
      </c>
      <c r="J32" s="23" t="str">
        <f aca="false">IF($I32="","",RANK($I32,$I$5:$I$104)+COUNTIF($I$4:$I31,$I32))</f>
        <v/>
      </c>
      <c r="K32" s="22"/>
      <c r="L32" s="13"/>
      <c r="M32" s="22"/>
      <c r="N32" s="24" t="str">
        <f aca="false">IF(OR($A32="",$K32=""),"",INDEX(Parámetros!$B$32:$D$32,MATCH($K32,Parámetros!$B$22:$D$22,0)))</f>
        <v/>
      </c>
      <c r="O32" s="23" t="str">
        <f aca="false">IF($N32="","",ROUNDUP($N32/Parámetros!$B$19*(1+Parámetros!$B$17),0))</f>
        <v/>
      </c>
      <c r="P32" s="23" t="str">
        <f aca="false">IF($J32="","",MOD($J32-1,Parámetros!$B$16)+1)</f>
        <v/>
      </c>
      <c r="Q32" s="12"/>
      <c r="R32" s="25" t="str">
        <f aca="false">IF(OR($J32="",$O32=""),"",IF($Q32&lt;&gt;"",$Q32,WORKDAY(Parámetros!$B$13-1,SUMIFS($O$5:$O$104,$P$5:$P$104,$P32,$J$5:$J$104,"&lt;"&amp;$J32)+1,Parámetros!$G$6:$G$25)))</f>
        <v/>
      </c>
      <c r="S32" s="25" t="str">
        <f aca="false">IF($R32="","",WORKDAY($R32-1,$O32,Parámetros!$G$6:$G$25))</f>
        <v/>
      </c>
      <c r="T32" s="12"/>
      <c r="U32" s="11"/>
      <c r="V32" s="22"/>
      <c r="W32" s="21"/>
      <c r="X32" s="21"/>
      <c r="Y32" s="21"/>
    </row>
    <row r="33" customFormat="false" ht="15" hidden="false" customHeight="false" outlineLevel="0" collapsed="false">
      <c r="A33" s="13"/>
      <c r="B33" s="21"/>
      <c r="C33" s="22"/>
      <c r="D33" s="13"/>
      <c r="E33" s="22"/>
      <c r="F33" s="22"/>
      <c r="G33" s="22"/>
      <c r="H33" s="22"/>
      <c r="I33" s="23" t="str">
        <f aca="false">IF(OR($A33="",$L33="Cerrado",COUNT($E33:$H33)&lt;4),"",$E33+$F33+$G33-$H33)</f>
        <v/>
      </c>
      <c r="J33" s="23" t="str">
        <f aca="false">IF($I33="","",RANK($I33,$I$5:$I$104)+COUNTIF($I$4:$I32,$I33))</f>
        <v/>
      </c>
      <c r="K33" s="22"/>
      <c r="L33" s="13"/>
      <c r="M33" s="22"/>
      <c r="N33" s="24" t="str">
        <f aca="false">IF(OR($A33="",$K33=""),"",INDEX(Parámetros!$B$32:$D$32,MATCH($K33,Parámetros!$B$22:$D$22,0)))</f>
        <v/>
      </c>
      <c r="O33" s="23" t="str">
        <f aca="false">IF($N33="","",ROUNDUP($N33/Parámetros!$B$19*(1+Parámetros!$B$17),0))</f>
        <v/>
      </c>
      <c r="P33" s="23" t="str">
        <f aca="false">IF($J33="","",MOD($J33-1,Parámetros!$B$16)+1)</f>
        <v/>
      </c>
      <c r="Q33" s="12"/>
      <c r="R33" s="25" t="str">
        <f aca="false">IF(OR($J33="",$O33=""),"",IF($Q33&lt;&gt;"",$Q33,WORKDAY(Parámetros!$B$13-1,SUMIFS($O$5:$O$104,$P$5:$P$104,$P33,$J$5:$J$104,"&lt;"&amp;$J33)+1,Parámetros!$G$6:$G$25)))</f>
        <v/>
      </c>
      <c r="S33" s="25" t="str">
        <f aca="false">IF($R33="","",WORKDAY($R33-1,$O33,Parámetros!$G$6:$G$25))</f>
        <v/>
      </c>
      <c r="T33" s="12"/>
      <c r="U33" s="11"/>
      <c r="V33" s="22"/>
      <c r="W33" s="21"/>
      <c r="X33" s="21"/>
      <c r="Y33" s="21"/>
    </row>
    <row r="34" customFormat="false" ht="15" hidden="false" customHeight="false" outlineLevel="0" collapsed="false">
      <c r="A34" s="13"/>
      <c r="B34" s="21"/>
      <c r="C34" s="22"/>
      <c r="D34" s="13"/>
      <c r="E34" s="22"/>
      <c r="F34" s="22"/>
      <c r="G34" s="22"/>
      <c r="H34" s="22"/>
      <c r="I34" s="23" t="str">
        <f aca="false">IF(OR($A34="",$L34="Cerrado",COUNT($E34:$H34)&lt;4),"",$E34+$F34+$G34-$H34)</f>
        <v/>
      </c>
      <c r="J34" s="23" t="str">
        <f aca="false">IF($I34="","",RANK($I34,$I$5:$I$104)+COUNTIF($I$4:$I33,$I34))</f>
        <v/>
      </c>
      <c r="K34" s="22"/>
      <c r="L34" s="13"/>
      <c r="M34" s="22"/>
      <c r="N34" s="24" t="str">
        <f aca="false">IF(OR($A34="",$K34=""),"",INDEX(Parámetros!$B$32:$D$32,MATCH($K34,Parámetros!$B$22:$D$22,0)))</f>
        <v/>
      </c>
      <c r="O34" s="23" t="str">
        <f aca="false">IF($N34="","",ROUNDUP($N34/Parámetros!$B$19*(1+Parámetros!$B$17),0))</f>
        <v/>
      </c>
      <c r="P34" s="23" t="str">
        <f aca="false">IF($J34="","",MOD($J34-1,Parámetros!$B$16)+1)</f>
        <v/>
      </c>
      <c r="Q34" s="12"/>
      <c r="R34" s="25" t="str">
        <f aca="false">IF(OR($J34="",$O34=""),"",IF($Q34&lt;&gt;"",$Q34,WORKDAY(Parámetros!$B$13-1,SUMIFS($O$5:$O$104,$P$5:$P$104,$P34,$J$5:$J$104,"&lt;"&amp;$J34)+1,Parámetros!$G$6:$G$25)))</f>
        <v/>
      </c>
      <c r="S34" s="25" t="str">
        <f aca="false">IF($R34="","",WORKDAY($R34-1,$O34,Parámetros!$G$6:$G$25))</f>
        <v/>
      </c>
      <c r="T34" s="12"/>
      <c r="U34" s="11"/>
      <c r="V34" s="22"/>
      <c r="W34" s="21"/>
      <c r="X34" s="21"/>
      <c r="Y34" s="21"/>
    </row>
    <row r="35" customFormat="false" ht="15" hidden="false" customHeight="false" outlineLevel="0" collapsed="false">
      <c r="A35" s="13"/>
      <c r="B35" s="21"/>
      <c r="C35" s="22"/>
      <c r="D35" s="13"/>
      <c r="E35" s="22"/>
      <c r="F35" s="22"/>
      <c r="G35" s="22"/>
      <c r="H35" s="22"/>
      <c r="I35" s="23" t="str">
        <f aca="false">IF(OR($A35="",$L35="Cerrado",COUNT($E35:$H35)&lt;4),"",$E35+$F35+$G35-$H35)</f>
        <v/>
      </c>
      <c r="J35" s="23" t="str">
        <f aca="false">IF($I35="","",RANK($I35,$I$5:$I$104)+COUNTIF($I$4:$I34,$I35))</f>
        <v/>
      </c>
      <c r="K35" s="22"/>
      <c r="L35" s="13"/>
      <c r="M35" s="22"/>
      <c r="N35" s="24" t="str">
        <f aca="false">IF(OR($A35="",$K35=""),"",INDEX(Parámetros!$B$32:$D$32,MATCH($K35,Parámetros!$B$22:$D$22,0)))</f>
        <v/>
      </c>
      <c r="O35" s="23" t="str">
        <f aca="false">IF($N35="","",ROUNDUP($N35/Parámetros!$B$19*(1+Parámetros!$B$17),0))</f>
        <v/>
      </c>
      <c r="P35" s="23" t="str">
        <f aca="false">IF($J35="","",MOD($J35-1,Parámetros!$B$16)+1)</f>
        <v/>
      </c>
      <c r="Q35" s="12"/>
      <c r="R35" s="25" t="str">
        <f aca="false">IF(OR($J35="",$O35=""),"",IF($Q35&lt;&gt;"",$Q35,WORKDAY(Parámetros!$B$13-1,SUMIFS($O$5:$O$104,$P$5:$P$104,$P35,$J$5:$J$104,"&lt;"&amp;$J35)+1,Parámetros!$G$6:$G$25)))</f>
        <v/>
      </c>
      <c r="S35" s="25" t="str">
        <f aca="false">IF($R35="","",WORKDAY($R35-1,$O35,Parámetros!$G$6:$G$25))</f>
        <v/>
      </c>
      <c r="T35" s="12"/>
      <c r="U35" s="11"/>
      <c r="V35" s="22"/>
      <c r="W35" s="21"/>
      <c r="X35" s="21"/>
      <c r="Y35" s="21"/>
    </row>
    <row r="36" customFormat="false" ht="15" hidden="false" customHeight="false" outlineLevel="0" collapsed="false">
      <c r="A36" s="13"/>
      <c r="B36" s="21"/>
      <c r="C36" s="22"/>
      <c r="D36" s="13"/>
      <c r="E36" s="22"/>
      <c r="F36" s="22"/>
      <c r="G36" s="22"/>
      <c r="H36" s="22"/>
      <c r="I36" s="23" t="str">
        <f aca="false">IF(OR($A36="",$L36="Cerrado",COUNT($E36:$H36)&lt;4),"",$E36+$F36+$G36-$H36)</f>
        <v/>
      </c>
      <c r="J36" s="23" t="str">
        <f aca="false">IF($I36="","",RANK($I36,$I$5:$I$104)+COUNTIF($I$4:$I35,$I36))</f>
        <v/>
      </c>
      <c r="K36" s="22"/>
      <c r="L36" s="13"/>
      <c r="M36" s="22"/>
      <c r="N36" s="24" t="str">
        <f aca="false">IF(OR($A36="",$K36=""),"",INDEX(Parámetros!$B$32:$D$32,MATCH($K36,Parámetros!$B$22:$D$22,0)))</f>
        <v/>
      </c>
      <c r="O36" s="23" t="str">
        <f aca="false">IF($N36="","",ROUNDUP($N36/Parámetros!$B$19*(1+Parámetros!$B$17),0))</f>
        <v/>
      </c>
      <c r="P36" s="23" t="str">
        <f aca="false">IF($J36="","",MOD($J36-1,Parámetros!$B$16)+1)</f>
        <v/>
      </c>
      <c r="Q36" s="12"/>
      <c r="R36" s="25" t="str">
        <f aca="false">IF(OR($J36="",$O36=""),"",IF($Q36&lt;&gt;"",$Q36,WORKDAY(Parámetros!$B$13-1,SUMIFS($O$5:$O$104,$P$5:$P$104,$P36,$J$5:$J$104,"&lt;"&amp;$J36)+1,Parámetros!$G$6:$G$25)))</f>
        <v/>
      </c>
      <c r="S36" s="25" t="str">
        <f aca="false">IF($R36="","",WORKDAY($R36-1,$O36,Parámetros!$G$6:$G$25))</f>
        <v/>
      </c>
      <c r="T36" s="12"/>
      <c r="U36" s="11"/>
      <c r="V36" s="22"/>
      <c r="W36" s="21"/>
      <c r="X36" s="21"/>
      <c r="Y36" s="21"/>
    </row>
    <row r="37" customFormat="false" ht="15" hidden="false" customHeight="false" outlineLevel="0" collapsed="false">
      <c r="A37" s="13"/>
      <c r="B37" s="21"/>
      <c r="C37" s="22"/>
      <c r="D37" s="13"/>
      <c r="E37" s="22"/>
      <c r="F37" s="22"/>
      <c r="G37" s="22"/>
      <c r="H37" s="22"/>
      <c r="I37" s="23" t="str">
        <f aca="false">IF(OR($A37="",$L37="Cerrado",COUNT($E37:$H37)&lt;4),"",$E37+$F37+$G37-$H37)</f>
        <v/>
      </c>
      <c r="J37" s="23" t="str">
        <f aca="false">IF($I37="","",RANK($I37,$I$5:$I$104)+COUNTIF($I$4:$I36,$I37))</f>
        <v/>
      </c>
      <c r="K37" s="22"/>
      <c r="L37" s="13"/>
      <c r="M37" s="22"/>
      <c r="N37" s="24" t="str">
        <f aca="false">IF(OR($A37="",$K37=""),"",INDEX(Parámetros!$B$32:$D$32,MATCH($K37,Parámetros!$B$22:$D$22,0)))</f>
        <v/>
      </c>
      <c r="O37" s="23" t="str">
        <f aca="false">IF($N37="","",ROUNDUP($N37/Parámetros!$B$19*(1+Parámetros!$B$17),0))</f>
        <v/>
      </c>
      <c r="P37" s="23" t="str">
        <f aca="false">IF($J37="","",MOD($J37-1,Parámetros!$B$16)+1)</f>
        <v/>
      </c>
      <c r="Q37" s="12"/>
      <c r="R37" s="25" t="str">
        <f aca="false">IF(OR($J37="",$O37=""),"",IF($Q37&lt;&gt;"",$Q37,WORKDAY(Parámetros!$B$13-1,SUMIFS($O$5:$O$104,$P$5:$P$104,$P37,$J$5:$J$104,"&lt;"&amp;$J37)+1,Parámetros!$G$6:$G$25)))</f>
        <v/>
      </c>
      <c r="S37" s="25" t="str">
        <f aca="false">IF($R37="","",WORKDAY($R37-1,$O37,Parámetros!$G$6:$G$25))</f>
        <v/>
      </c>
      <c r="T37" s="12"/>
      <c r="U37" s="11"/>
      <c r="V37" s="22"/>
      <c r="W37" s="21"/>
      <c r="X37" s="21"/>
      <c r="Y37" s="21"/>
    </row>
    <row r="38" customFormat="false" ht="15" hidden="false" customHeight="false" outlineLevel="0" collapsed="false">
      <c r="A38" s="13"/>
      <c r="B38" s="21"/>
      <c r="C38" s="22"/>
      <c r="D38" s="13"/>
      <c r="E38" s="22"/>
      <c r="F38" s="22"/>
      <c r="G38" s="22"/>
      <c r="H38" s="22"/>
      <c r="I38" s="23" t="str">
        <f aca="false">IF(OR($A38="",$L38="Cerrado",COUNT($E38:$H38)&lt;4),"",$E38+$F38+$G38-$H38)</f>
        <v/>
      </c>
      <c r="J38" s="23" t="str">
        <f aca="false">IF($I38="","",RANK($I38,$I$5:$I$104)+COUNTIF($I$4:$I37,$I38))</f>
        <v/>
      </c>
      <c r="K38" s="22"/>
      <c r="L38" s="13"/>
      <c r="M38" s="22"/>
      <c r="N38" s="24" t="str">
        <f aca="false">IF(OR($A38="",$K38=""),"",INDEX(Parámetros!$B$32:$D$32,MATCH($K38,Parámetros!$B$22:$D$22,0)))</f>
        <v/>
      </c>
      <c r="O38" s="23" t="str">
        <f aca="false">IF($N38="","",ROUNDUP($N38/Parámetros!$B$19*(1+Parámetros!$B$17),0))</f>
        <v/>
      </c>
      <c r="P38" s="23" t="str">
        <f aca="false">IF($J38="","",MOD($J38-1,Parámetros!$B$16)+1)</f>
        <v/>
      </c>
      <c r="Q38" s="12"/>
      <c r="R38" s="25" t="str">
        <f aca="false">IF(OR($J38="",$O38=""),"",IF($Q38&lt;&gt;"",$Q38,WORKDAY(Parámetros!$B$13-1,SUMIFS($O$5:$O$104,$P$5:$P$104,$P38,$J$5:$J$104,"&lt;"&amp;$J38)+1,Parámetros!$G$6:$G$25)))</f>
        <v/>
      </c>
      <c r="S38" s="25" t="str">
        <f aca="false">IF($R38="","",WORKDAY($R38-1,$O38,Parámetros!$G$6:$G$25))</f>
        <v/>
      </c>
      <c r="T38" s="12"/>
      <c r="U38" s="11"/>
      <c r="V38" s="22"/>
      <c r="W38" s="21"/>
      <c r="X38" s="21"/>
      <c r="Y38" s="21"/>
    </row>
    <row r="39" customFormat="false" ht="15" hidden="false" customHeight="false" outlineLevel="0" collapsed="false">
      <c r="A39" s="13"/>
      <c r="B39" s="21"/>
      <c r="C39" s="22"/>
      <c r="D39" s="13"/>
      <c r="E39" s="22"/>
      <c r="F39" s="22"/>
      <c r="G39" s="22"/>
      <c r="H39" s="22"/>
      <c r="I39" s="23" t="str">
        <f aca="false">IF(OR($A39="",$L39="Cerrado",COUNT($E39:$H39)&lt;4),"",$E39+$F39+$G39-$H39)</f>
        <v/>
      </c>
      <c r="J39" s="23" t="str">
        <f aca="false">IF($I39="","",RANK($I39,$I$5:$I$104)+COUNTIF($I$4:$I38,$I39))</f>
        <v/>
      </c>
      <c r="K39" s="22"/>
      <c r="L39" s="13"/>
      <c r="M39" s="22"/>
      <c r="N39" s="24" t="str">
        <f aca="false">IF(OR($A39="",$K39=""),"",INDEX(Parámetros!$B$32:$D$32,MATCH($K39,Parámetros!$B$22:$D$22,0)))</f>
        <v/>
      </c>
      <c r="O39" s="23" t="str">
        <f aca="false">IF($N39="","",ROUNDUP($N39/Parámetros!$B$19*(1+Parámetros!$B$17),0))</f>
        <v/>
      </c>
      <c r="P39" s="23" t="str">
        <f aca="false">IF($J39="","",MOD($J39-1,Parámetros!$B$16)+1)</f>
        <v/>
      </c>
      <c r="Q39" s="12"/>
      <c r="R39" s="25" t="str">
        <f aca="false">IF(OR($J39="",$O39=""),"",IF($Q39&lt;&gt;"",$Q39,WORKDAY(Parámetros!$B$13-1,SUMIFS($O$5:$O$104,$P$5:$P$104,$P39,$J$5:$J$104,"&lt;"&amp;$J39)+1,Parámetros!$G$6:$G$25)))</f>
        <v/>
      </c>
      <c r="S39" s="25" t="str">
        <f aca="false">IF($R39="","",WORKDAY($R39-1,$O39,Parámetros!$G$6:$G$25))</f>
        <v/>
      </c>
      <c r="T39" s="12"/>
      <c r="U39" s="11"/>
      <c r="V39" s="22"/>
      <c r="W39" s="21"/>
      <c r="X39" s="21"/>
      <c r="Y39" s="21"/>
    </row>
    <row r="40" customFormat="false" ht="15" hidden="false" customHeight="false" outlineLevel="0" collapsed="false">
      <c r="A40" s="13"/>
      <c r="B40" s="21"/>
      <c r="C40" s="22"/>
      <c r="D40" s="13"/>
      <c r="E40" s="22"/>
      <c r="F40" s="22"/>
      <c r="G40" s="22"/>
      <c r="H40" s="22"/>
      <c r="I40" s="23" t="str">
        <f aca="false">IF(OR($A40="",$L40="Cerrado",COUNT($E40:$H40)&lt;4),"",$E40+$F40+$G40-$H40)</f>
        <v/>
      </c>
      <c r="J40" s="23" t="str">
        <f aca="false">IF($I40="","",RANK($I40,$I$5:$I$104)+COUNTIF($I$4:$I39,$I40))</f>
        <v/>
      </c>
      <c r="K40" s="22"/>
      <c r="L40" s="13"/>
      <c r="M40" s="22"/>
      <c r="N40" s="24" t="str">
        <f aca="false">IF(OR($A40="",$K40=""),"",INDEX(Parámetros!$B$32:$D$32,MATCH($K40,Parámetros!$B$22:$D$22,0)))</f>
        <v/>
      </c>
      <c r="O40" s="23" t="str">
        <f aca="false">IF($N40="","",ROUNDUP($N40/Parámetros!$B$19*(1+Parámetros!$B$17),0))</f>
        <v/>
      </c>
      <c r="P40" s="23" t="str">
        <f aca="false">IF($J40="","",MOD($J40-1,Parámetros!$B$16)+1)</f>
        <v/>
      </c>
      <c r="Q40" s="12"/>
      <c r="R40" s="25" t="str">
        <f aca="false">IF(OR($J40="",$O40=""),"",IF($Q40&lt;&gt;"",$Q40,WORKDAY(Parámetros!$B$13-1,SUMIFS($O$5:$O$104,$P$5:$P$104,$P40,$J$5:$J$104,"&lt;"&amp;$J40)+1,Parámetros!$G$6:$G$25)))</f>
        <v/>
      </c>
      <c r="S40" s="25" t="str">
        <f aca="false">IF($R40="","",WORKDAY($R40-1,$O40,Parámetros!$G$6:$G$25))</f>
        <v/>
      </c>
      <c r="T40" s="12"/>
      <c r="U40" s="11"/>
      <c r="V40" s="22"/>
      <c r="W40" s="21"/>
      <c r="X40" s="21"/>
      <c r="Y40" s="21"/>
    </row>
    <row r="41" customFormat="false" ht="15" hidden="false" customHeight="false" outlineLevel="0" collapsed="false">
      <c r="A41" s="13"/>
      <c r="B41" s="21"/>
      <c r="C41" s="22"/>
      <c r="D41" s="13"/>
      <c r="E41" s="22"/>
      <c r="F41" s="22"/>
      <c r="G41" s="22"/>
      <c r="H41" s="22"/>
      <c r="I41" s="23" t="str">
        <f aca="false">IF(OR($A41="",$L41="Cerrado",COUNT($E41:$H41)&lt;4),"",$E41+$F41+$G41-$H41)</f>
        <v/>
      </c>
      <c r="J41" s="23" t="str">
        <f aca="false">IF($I41="","",RANK($I41,$I$5:$I$104)+COUNTIF($I$4:$I40,$I41))</f>
        <v/>
      </c>
      <c r="K41" s="22"/>
      <c r="L41" s="13"/>
      <c r="M41" s="22"/>
      <c r="N41" s="24" t="str">
        <f aca="false">IF(OR($A41="",$K41=""),"",INDEX(Parámetros!$B$32:$D$32,MATCH($K41,Parámetros!$B$22:$D$22,0)))</f>
        <v/>
      </c>
      <c r="O41" s="23" t="str">
        <f aca="false">IF($N41="","",ROUNDUP($N41/Parámetros!$B$19*(1+Parámetros!$B$17),0))</f>
        <v/>
      </c>
      <c r="P41" s="23" t="str">
        <f aca="false">IF($J41="","",MOD($J41-1,Parámetros!$B$16)+1)</f>
        <v/>
      </c>
      <c r="Q41" s="12"/>
      <c r="R41" s="25" t="str">
        <f aca="false">IF(OR($J41="",$O41=""),"",IF($Q41&lt;&gt;"",$Q41,WORKDAY(Parámetros!$B$13-1,SUMIFS($O$5:$O$104,$P$5:$P$104,$P41,$J$5:$J$104,"&lt;"&amp;$J41)+1,Parámetros!$G$6:$G$25)))</f>
        <v/>
      </c>
      <c r="S41" s="25" t="str">
        <f aca="false">IF($R41="","",WORKDAY($R41-1,$O41,Parámetros!$G$6:$G$25))</f>
        <v/>
      </c>
      <c r="T41" s="12"/>
      <c r="U41" s="11"/>
      <c r="V41" s="22"/>
      <c r="W41" s="21"/>
      <c r="X41" s="21"/>
      <c r="Y41" s="21"/>
    </row>
    <row r="42" customFormat="false" ht="15" hidden="false" customHeight="false" outlineLevel="0" collapsed="false">
      <c r="A42" s="13"/>
      <c r="B42" s="21"/>
      <c r="C42" s="22"/>
      <c r="D42" s="13"/>
      <c r="E42" s="22"/>
      <c r="F42" s="22"/>
      <c r="G42" s="22"/>
      <c r="H42" s="22"/>
      <c r="I42" s="23" t="str">
        <f aca="false">IF(OR($A42="",$L42="Cerrado",COUNT($E42:$H42)&lt;4),"",$E42+$F42+$G42-$H42)</f>
        <v/>
      </c>
      <c r="J42" s="23" t="str">
        <f aca="false">IF($I42="","",RANK($I42,$I$5:$I$104)+COUNTIF($I$4:$I41,$I42))</f>
        <v/>
      </c>
      <c r="K42" s="22"/>
      <c r="L42" s="13"/>
      <c r="M42" s="22"/>
      <c r="N42" s="24" t="str">
        <f aca="false">IF(OR($A42="",$K42=""),"",INDEX(Parámetros!$B$32:$D$32,MATCH($K42,Parámetros!$B$22:$D$22,0)))</f>
        <v/>
      </c>
      <c r="O42" s="23" t="str">
        <f aca="false">IF($N42="","",ROUNDUP($N42/Parámetros!$B$19*(1+Parámetros!$B$17),0))</f>
        <v/>
      </c>
      <c r="P42" s="23" t="str">
        <f aca="false">IF($J42="","",MOD($J42-1,Parámetros!$B$16)+1)</f>
        <v/>
      </c>
      <c r="Q42" s="12"/>
      <c r="R42" s="25" t="str">
        <f aca="false">IF(OR($J42="",$O42=""),"",IF($Q42&lt;&gt;"",$Q42,WORKDAY(Parámetros!$B$13-1,SUMIFS($O$5:$O$104,$P$5:$P$104,$P42,$J$5:$J$104,"&lt;"&amp;$J42)+1,Parámetros!$G$6:$G$25)))</f>
        <v/>
      </c>
      <c r="S42" s="25" t="str">
        <f aca="false">IF($R42="","",WORKDAY($R42-1,$O42,Parámetros!$G$6:$G$25))</f>
        <v/>
      </c>
      <c r="T42" s="12"/>
      <c r="U42" s="11"/>
      <c r="V42" s="22"/>
      <c r="W42" s="21"/>
      <c r="X42" s="21"/>
      <c r="Y42" s="21"/>
    </row>
    <row r="43" customFormat="false" ht="15" hidden="false" customHeight="false" outlineLevel="0" collapsed="false">
      <c r="A43" s="13"/>
      <c r="B43" s="21"/>
      <c r="C43" s="22"/>
      <c r="D43" s="13"/>
      <c r="E43" s="22"/>
      <c r="F43" s="22"/>
      <c r="G43" s="22"/>
      <c r="H43" s="22"/>
      <c r="I43" s="23" t="str">
        <f aca="false">IF(OR($A43="",$L43="Cerrado",COUNT($E43:$H43)&lt;4),"",$E43+$F43+$G43-$H43)</f>
        <v/>
      </c>
      <c r="J43" s="23" t="str">
        <f aca="false">IF($I43="","",RANK($I43,$I$5:$I$104)+COUNTIF($I$4:$I42,$I43))</f>
        <v/>
      </c>
      <c r="K43" s="22"/>
      <c r="L43" s="13"/>
      <c r="M43" s="22"/>
      <c r="N43" s="24" t="str">
        <f aca="false">IF(OR($A43="",$K43=""),"",INDEX(Parámetros!$B$32:$D$32,MATCH($K43,Parámetros!$B$22:$D$22,0)))</f>
        <v/>
      </c>
      <c r="O43" s="23" t="str">
        <f aca="false">IF($N43="","",ROUNDUP($N43/Parámetros!$B$19*(1+Parámetros!$B$17),0))</f>
        <v/>
      </c>
      <c r="P43" s="23" t="str">
        <f aca="false">IF($J43="","",MOD($J43-1,Parámetros!$B$16)+1)</f>
        <v/>
      </c>
      <c r="Q43" s="12"/>
      <c r="R43" s="25" t="str">
        <f aca="false">IF(OR($J43="",$O43=""),"",IF($Q43&lt;&gt;"",$Q43,WORKDAY(Parámetros!$B$13-1,SUMIFS($O$5:$O$104,$P$5:$P$104,$P43,$J$5:$J$104,"&lt;"&amp;$J43)+1,Parámetros!$G$6:$G$25)))</f>
        <v/>
      </c>
      <c r="S43" s="25" t="str">
        <f aca="false">IF($R43="","",WORKDAY($R43-1,$O43,Parámetros!$G$6:$G$25))</f>
        <v/>
      </c>
      <c r="T43" s="12"/>
      <c r="U43" s="11"/>
      <c r="V43" s="22"/>
      <c r="W43" s="21"/>
      <c r="X43" s="21"/>
      <c r="Y43" s="21"/>
    </row>
    <row r="44" customFormat="false" ht="15" hidden="false" customHeight="false" outlineLevel="0" collapsed="false">
      <c r="A44" s="13"/>
      <c r="B44" s="21"/>
      <c r="C44" s="22"/>
      <c r="D44" s="13"/>
      <c r="E44" s="22"/>
      <c r="F44" s="22"/>
      <c r="G44" s="22"/>
      <c r="H44" s="22"/>
      <c r="I44" s="23" t="str">
        <f aca="false">IF(OR($A44="",$L44="Cerrado",COUNT($E44:$H44)&lt;4),"",$E44+$F44+$G44-$H44)</f>
        <v/>
      </c>
      <c r="J44" s="23" t="str">
        <f aca="false">IF($I44="","",RANK($I44,$I$5:$I$104)+COUNTIF($I$4:$I43,$I44))</f>
        <v/>
      </c>
      <c r="K44" s="22"/>
      <c r="L44" s="13"/>
      <c r="M44" s="22"/>
      <c r="N44" s="24" t="str">
        <f aca="false">IF(OR($A44="",$K44=""),"",INDEX(Parámetros!$B$32:$D$32,MATCH($K44,Parámetros!$B$22:$D$22,0)))</f>
        <v/>
      </c>
      <c r="O44" s="23" t="str">
        <f aca="false">IF($N44="","",ROUNDUP($N44/Parámetros!$B$19*(1+Parámetros!$B$17),0))</f>
        <v/>
      </c>
      <c r="P44" s="23" t="str">
        <f aca="false">IF($J44="","",MOD($J44-1,Parámetros!$B$16)+1)</f>
        <v/>
      </c>
      <c r="Q44" s="12"/>
      <c r="R44" s="25" t="str">
        <f aca="false">IF(OR($J44="",$O44=""),"",IF($Q44&lt;&gt;"",$Q44,WORKDAY(Parámetros!$B$13-1,SUMIFS($O$5:$O$104,$P$5:$P$104,$P44,$J$5:$J$104,"&lt;"&amp;$J44)+1,Parámetros!$G$6:$G$25)))</f>
        <v/>
      </c>
      <c r="S44" s="25" t="str">
        <f aca="false">IF($R44="","",WORKDAY($R44-1,$O44,Parámetros!$G$6:$G$25))</f>
        <v/>
      </c>
      <c r="T44" s="12"/>
      <c r="U44" s="11"/>
      <c r="V44" s="22"/>
      <c r="W44" s="21"/>
      <c r="X44" s="21"/>
      <c r="Y44" s="21"/>
    </row>
    <row r="45" customFormat="false" ht="15" hidden="false" customHeight="false" outlineLevel="0" collapsed="false">
      <c r="A45" s="13"/>
      <c r="B45" s="21"/>
      <c r="C45" s="22"/>
      <c r="D45" s="13"/>
      <c r="E45" s="22"/>
      <c r="F45" s="22"/>
      <c r="G45" s="22"/>
      <c r="H45" s="22"/>
      <c r="I45" s="23" t="str">
        <f aca="false">IF(OR($A45="",$L45="Cerrado",COUNT($E45:$H45)&lt;4),"",$E45+$F45+$G45-$H45)</f>
        <v/>
      </c>
      <c r="J45" s="23" t="str">
        <f aca="false">IF($I45="","",RANK($I45,$I$5:$I$104)+COUNTIF($I$4:$I44,$I45))</f>
        <v/>
      </c>
      <c r="K45" s="22"/>
      <c r="L45" s="13"/>
      <c r="M45" s="22"/>
      <c r="N45" s="24" t="str">
        <f aca="false">IF(OR($A45="",$K45=""),"",INDEX(Parámetros!$B$32:$D$32,MATCH($K45,Parámetros!$B$22:$D$22,0)))</f>
        <v/>
      </c>
      <c r="O45" s="23" t="str">
        <f aca="false">IF($N45="","",ROUNDUP($N45/Parámetros!$B$19*(1+Parámetros!$B$17),0))</f>
        <v/>
      </c>
      <c r="P45" s="23" t="str">
        <f aca="false">IF($J45="","",MOD($J45-1,Parámetros!$B$16)+1)</f>
        <v/>
      </c>
      <c r="Q45" s="12"/>
      <c r="R45" s="25" t="str">
        <f aca="false">IF(OR($J45="",$O45=""),"",IF($Q45&lt;&gt;"",$Q45,WORKDAY(Parámetros!$B$13-1,SUMIFS($O$5:$O$104,$P$5:$P$104,$P45,$J$5:$J$104,"&lt;"&amp;$J45)+1,Parámetros!$G$6:$G$25)))</f>
        <v/>
      </c>
      <c r="S45" s="25" t="str">
        <f aca="false">IF($R45="","",WORKDAY($R45-1,$O45,Parámetros!$G$6:$G$25))</f>
        <v/>
      </c>
      <c r="T45" s="12"/>
      <c r="U45" s="11"/>
      <c r="V45" s="22"/>
      <c r="W45" s="21"/>
      <c r="X45" s="21"/>
      <c r="Y45" s="21"/>
    </row>
    <row r="46" customFormat="false" ht="15" hidden="false" customHeight="false" outlineLevel="0" collapsed="false">
      <c r="A46" s="13"/>
      <c r="B46" s="21"/>
      <c r="C46" s="22"/>
      <c r="D46" s="13"/>
      <c r="E46" s="22"/>
      <c r="F46" s="22"/>
      <c r="G46" s="22"/>
      <c r="H46" s="22"/>
      <c r="I46" s="23" t="str">
        <f aca="false">IF(OR($A46="",$L46="Cerrado",COUNT($E46:$H46)&lt;4),"",$E46+$F46+$G46-$H46)</f>
        <v/>
      </c>
      <c r="J46" s="23" t="str">
        <f aca="false">IF($I46="","",RANK($I46,$I$5:$I$104)+COUNTIF($I$4:$I45,$I46))</f>
        <v/>
      </c>
      <c r="K46" s="22"/>
      <c r="L46" s="13"/>
      <c r="M46" s="22"/>
      <c r="N46" s="24" t="str">
        <f aca="false">IF(OR($A46="",$K46=""),"",INDEX(Parámetros!$B$32:$D$32,MATCH($K46,Parámetros!$B$22:$D$22,0)))</f>
        <v/>
      </c>
      <c r="O46" s="23" t="str">
        <f aca="false">IF($N46="","",ROUNDUP($N46/Parámetros!$B$19*(1+Parámetros!$B$17),0))</f>
        <v/>
      </c>
      <c r="P46" s="23" t="str">
        <f aca="false">IF($J46="","",MOD($J46-1,Parámetros!$B$16)+1)</f>
        <v/>
      </c>
      <c r="Q46" s="12"/>
      <c r="R46" s="25" t="str">
        <f aca="false">IF(OR($J46="",$O46=""),"",IF($Q46&lt;&gt;"",$Q46,WORKDAY(Parámetros!$B$13-1,SUMIFS($O$5:$O$104,$P$5:$P$104,$P46,$J$5:$J$104,"&lt;"&amp;$J46)+1,Parámetros!$G$6:$G$25)))</f>
        <v/>
      </c>
      <c r="S46" s="25" t="str">
        <f aca="false">IF($R46="","",WORKDAY($R46-1,$O46,Parámetros!$G$6:$G$25))</f>
        <v/>
      </c>
      <c r="T46" s="12"/>
      <c r="U46" s="11"/>
      <c r="V46" s="22"/>
      <c r="W46" s="21"/>
      <c r="X46" s="21"/>
      <c r="Y46" s="21"/>
    </row>
    <row r="47" customFormat="false" ht="15" hidden="false" customHeight="false" outlineLevel="0" collapsed="false">
      <c r="A47" s="13"/>
      <c r="B47" s="21"/>
      <c r="C47" s="22"/>
      <c r="D47" s="13"/>
      <c r="E47" s="22"/>
      <c r="F47" s="22"/>
      <c r="G47" s="22"/>
      <c r="H47" s="22"/>
      <c r="I47" s="23" t="str">
        <f aca="false">IF(OR($A47="",$L47="Cerrado",COUNT($E47:$H47)&lt;4),"",$E47+$F47+$G47-$H47)</f>
        <v/>
      </c>
      <c r="J47" s="23" t="str">
        <f aca="false">IF($I47="","",RANK($I47,$I$5:$I$104)+COUNTIF($I$4:$I46,$I47))</f>
        <v/>
      </c>
      <c r="K47" s="22"/>
      <c r="L47" s="13"/>
      <c r="M47" s="22"/>
      <c r="N47" s="24" t="str">
        <f aca="false">IF(OR($A47="",$K47=""),"",INDEX(Parámetros!$B$32:$D$32,MATCH($K47,Parámetros!$B$22:$D$22,0)))</f>
        <v/>
      </c>
      <c r="O47" s="23" t="str">
        <f aca="false">IF($N47="","",ROUNDUP($N47/Parámetros!$B$19*(1+Parámetros!$B$17),0))</f>
        <v/>
      </c>
      <c r="P47" s="23" t="str">
        <f aca="false">IF($J47="","",MOD($J47-1,Parámetros!$B$16)+1)</f>
        <v/>
      </c>
      <c r="Q47" s="12"/>
      <c r="R47" s="25" t="str">
        <f aca="false">IF(OR($J47="",$O47=""),"",IF($Q47&lt;&gt;"",$Q47,WORKDAY(Parámetros!$B$13-1,SUMIFS($O$5:$O$104,$P$5:$P$104,$P47,$J$5:$J$104,"&lt;"&amp;$J47)+1,Parámetros!$G$6:$G$25)))</f>
        <v/>
      </c>
      <c r="S47" s="25" t="str">
        <f aca="false">IF($R47="","",WORKDAY($R47-1,$O47,Parámetros!$G$6:$G$25))</f>
        <v/>
      </c>
      <c r="T47" s="12"/>
      <c r="U47" s="11"/>
      <c r="V47" s="22"/>
      <c r="W47" s="21"/>
      <c r="X47" s="21"/>
      <c r="Y47" s="21"/>
    </row>
    <row r="48" customFormat="false" ht="15" hidden="false" customHeight="false" outlineLevel="0" collapsed="false">
      <c r="A48" s="13"/>
      <c r="B48" s="21"/>
      <c r="C48" s="22"/>
      <c r="D48" s="13"/>
      <c r="E48" s="22"/>
      <c r="F48" s="22"/>
      <c r="G48" s="22"/>
      <c r="H48" s="22"/>
      <c r="I48" s="23" t="str">
        <f aca="false">IF(OR($A48="",$L48="Cerrado",COUNT($E48:$H48)&lt;4),"",$E48+$F48+$G48-$H48)</f>
        <v/>
      </c>
      <c r="J48" s="23" t="str">
        <f aca="false">IF($I48="","",RANK($I48,$I$5:$I$104)+COUNTIF($I$4:$I47,$I48))</f>
        <v/>
      </c>
      <c r="K48" s="22"/>
      <c r="L48" s="13"/>
      <c r="M48" s="22"/>
      <c r="N48" s="24" t="str">
        <f aca="false">IF(OR($A48="",$K48=""),"",INDEX(Parámetros!$B$32:$D$32,MATCH($K48,Parámetros!$B$22:$D$22,0)))</f>
        <v/>
      </c>
      <c r="O48" s="23" t="str">
        <f aca="false">IF($N48="","",ROUNDUP($N48/Parámetros!$B$19*(1+Parámetros!$B$17),0))</f>
        <v/>
      </c>
      <c r="P48" s="23" t="str">
        <f aca="false">IF($J48="","",MOD($J48-1,Parámetros!$B$16)+1)</f>
        <v/>
      </c>
      <c r="Q48" s="12"/>
      <c r="R48" s="25" t="str">
        <f aca="false">IF(OR($J48="",$O48=""),"",IF($Q48&lt;&gt;"",$Q48,WORKDAY(Parámetros!$B$13-1,SUMIFS($O$5:$O$104,$P$5:$P$104,$P48,$J$5:$J$104,"&lt;"&amp;$J48)+1,Parámetros!$G$6:$G$25)))</f>
        <v/>
      </c>
      <c r="S48" s="25" t="str">
        <f aca="false">IF($R48="","",WORKDAY($R48-1,$O48,Parámetros!$G$6:$G$25))</f>
        <v/>
      </c>
      <c r="T48" s="12"/>
      <c r="U48" s="11"/>
      <c r="V48" s="22"/>
      <c r="W48" s="21"/>
      <c r="X48" s="21"/>
      <c r="Y48" s="21"/>
    </row>
    <row r="49" customFormat="false" ht="15" hidden="false" customHeight="false" outlineLevel="0" collapsed="false">
      <c r="A49" s="13"/>
      <c r="B49" s="21"/>
      <c r="C49" s="22"/>
      <c r="D49" s="13"/>
      <c r="E49" s="22"/>
      <c r="F49" s="22"/>
      <c r="G49" s="22"/>
      <c r="H49" s="22"/>
      <c r="I49" s="23" t="str">
        <f aca="false">IF(OR($A49="",$L49="Cerrado",COUNT($E49:$H49)&lt;4),"",$E49+$F49+$G49-$H49)</f>
        <v/>
      </c>
      <c r="J49" s="23" t="str">
        <f aca="false">IF($I49="","",RANK($I49,$I$5:$I$104)+COUNTIF($I$4:$I48,$I49))</f>
        <v/>
      </c>
      <c r="K49" s="22"/>
      <c r="L49" s="13"/>
      <c r="M49" s="22"/>
      <c r="N49" s="24" t="str">
        <f aca="false">IF(OR($A49="",$K49=""),"",INDEX(Parámetros!$B$32:$D$32,MATCH($K49,Parámetros!$B$22:$D$22,0)))</f>
        <v/>
      </c>
      <c r="O49" s="23" t="str">
        <f aca="false">IF($N49="","",ROUNDUP($N49/Parámetros!$B$19*(1+Parámetros!$B$17),0))</f>
        <v/>
      </c>
      <c r="P49" s="23" t="str">
        <f aca="false">IF($J49="","",MOD($J49-1,Parámetros!$B$16)+1)</f>
        <v/>
      </c>
      <c r="Q49" s="12"/>
      <c r="R49" s="25" t="str">
        <f aca="false">IF(OR($J49="",$O49=""),"",IF($Q49&lt;&gt;"",$Q49,WORKDAY(Parámetros!$B$13-1,SUMIFS($O$5:$O$104,$P$5:$P$104,$P49,$J$5:$J$104,"&lt;"&amp;$J49)+1,Parámetros!$G$6:$G$25)))</f>
        <v/>
      </c>
      <c r="S49" s="25" t="str">
        <f aca="false">IF($R49="","",WORKDAY($R49-1,$O49,Parámetros!$G$6:$G$25))</f>
        <v/>
      </c>
      <c r="T49" s="12"/>
      <c r="U49" s="11"/>
      <c r="V49" s="22"/>
      <c r="W49" s="21"/>
      <c r="X49" s="21"/>
      <c r="Y49" s="21"/>
    </row>
    <row r="50" customFormat="false" ht="15" hidden="false" customHeight="false" outlineLevel="0" collapsed="false">
      <c r="A50" s="13"/>
      <c r="B50" s="21"/>
      <c r="C50" s="22"/>
      <c r="D50" s="13"/>
      <c r="E50" s="22"/>
      <c r="F50" s="22"/>
      <c r="G50" s="22"/>
      <c r="H50" s="22"/>
      <c r="I50" s="23" t="str">
        <f aca="false">IF(OR($A50="",$L50="Cerrado",COUNT($E50:$H50)&lt;4),"",$E50+$F50+$G50-$H50)</f>
        <v/>
      </c>
      <c r="J50" s="23" t="str">
        <f aca="false">IF($I50="","",RANK($I50,$I$5:$I$104)+COUNTIF($I$4:$I49,$I50))</f>
        <v/>
      </c>
      <c r="K50" s="22"/>
      <c r="L50" s="13"/>
      <c r="M50" s="22"/>
      <c r="N50" s="24" t="str">
        <f aca="false">IF(OR($A50="",$K50=""),"",INDEX(Parámetros!$B$32:$D$32,MATCH($K50,Parámetros!$B$22:$D$22,0)))</f>
        <v/>
      </c>
      <c r="O50" s="23" t="str">
        <f aca="false">IF($N50="","",ROUNDUP($N50/Parámetros!$B$19*(1+Parámetros!$B$17),0))</f>
        <v/>
      </c>
      <c r="P50" s="23" t="str">
        <f aca="false">IF($J50="","",MOD($J50-1,Parámetros!$B$16)+1)</f>
        <v/>
      </c>
      <c r="Q50" s="12"/>
      <c r="R50" s="25" t="str">
        <f aca="false">IF(OR($J50="",$O50=""),"",IF($Q50&lt;&gt;"",$Q50,WORKDAY(Parámetros!$B$13-1,SUMIFS($O$5:$O$104,$P$5:$P$104,$P50,$J$5:$J$104,"&lt;"&amp;$J50)+1,Parámetros!$G$6:$G$25)))</f>
        <v/>
      </c>
      <c r="S50" s="25" t="str">
        <f aca="false">IF($R50="","",WORKDAY($R50-1,$O50,Parámetros!$G$6:$G$25))</f>
        <v/>
      </c>
      <c r="T50" s="12"/>
      <c r="U50" s="11"/>
      <c r="V50" s="22"/>
      <c r="W50" s="21"/>
      <c r="X50" s="21"/>
      <c r="Y50" s="21"/>
    </row>
    <row r="51" customFormat="false" ht="15" hidden="false" customHeight="false" outlineLevel="0" collapsed="false">
      <c r="A51" s="13"/>
      <c r="B51" s="21"/>
      <c r="C51" s="22"/>
      <c r="D51" s="13"/>
      <c r="E51" s="22"/>
      <c r="F51" s="22"/>
      <c r="G51" s="22"/>
      <c r="H51" s="22"/>
      <c r="I51" s="23" t="str">
        <f aca="false">IF(OR($A51="",$L51="Cerrado",COUNT($E51:$H51)&lt;4),"",$E51+$F51+$G51-$H51)</f>
        <v/>
      </c>
      <c r="J51" s="23" t="str">
        <f aca="false">IF($I51="","",RANK($I51,$I$5:$I$104)+COUNTIF($I$4:$I50,$I51))</f>
        <v/>
      </c>
      <c r="K51" s="22"/>
      <c r="L51" s="13"/>
      <c r="M51" s="22"/>
      <c r="N51" s="24" t="str">
        <f aca="false">IF(OR($A51="",$K51=""),"",INDEX(Parámetros!$B$32:$D$32,MATCH($K51,Parámetros!$B$22:$D$22,0)))</f>
        <v/>
      </c>
      <c r="O51" s="23" t="str">
        <f aca="false">IF($N51="","",ROUNDUP($N51/Parámetros!$B$19*(1+Parámetros!$B$17),0))</f>
        <v/>
      </c>
      <c r="P51" s="23" t="str">
        <f aca="false">IF($J51="","",MOD($J51-1,Parámetros!$B$16)+1)</f>
        <v/>
      </c>
      <c r="Q51" s="12"/>
      <c r="R51" s="25" t="str">
        <f aca="false">IF(OR($J51="",$O51=""),"",IF($Q51&lt;&gt;"",$Q51,WORKDAY(Parámetros!$B$13-1,SUMIFS($O$5:$O$104,$P$5:$P$104,$P51,$J$5:$J$104,"&lt;"&amp;$J51)+1,Parámetros!$G$6:$G$25)))</f>
        <v/>
      </c>
      <c r="S51" s="25" t="str">
        <f aca="false">IF($R51="","",WORKDAY($R51-1,$O51,Parámetros!$G$6:$G$25))</f>
        <v/>
      </c>
      <c r="T51" s="12"/>
      <c r="U51" s="11"/>
      <c r="V51" s="22"/>
      <c r="W51" s="21"/>
      <c r="X51" s="21"/>
      <c r="Y51" s="21"/>
    </row>
    <row r="52" customFormat="false" ht="15" hidden="false" customHeight="false" outlineLevel="0" collapsed="false">
      <c r="A52" s="13"/>
      <c r="B52" s="21"/>
      <c r="C52" s="22"/>
      <c r="D52" s="13"/>
      <c r="E52" s="22"/>
      <c r="F52" s="22"/>
      <c r="G52" s="22"/>
      <c r="H52" s="22"/>
      <c r="I52" s="23" t="str">
        <f aca="false">IF(OR($A52="",$L52="Cerrado",COUNT($E52:$H52)&lt;4),"",$E52+$F52+$G52-$H52)</f>
        <v/>
      </c>
      <c r="J52" s="23" t="str">
        <f aca="false">IF($I52="","",RANK($I52,$I$5:$I$104)+COUNTIF($I$4:$I51,$I52))</f>
        <v/>
      </c>
      <c r="K52" s="22"/>
      <c r="L52" s="13"/>
      <c r="M52" s="22"/>
      <c r="N52" s="24" t="str">
        <f aca="false">IF(OR($A52="",$K52=""),"",INDEX(Parámetros!$B$32:$D$32,MATCH($K52,Parámetros!$B$22:$D$22,0)))</f>
        <v/>
      </c>
      <c r="O52" s="23" t="str">
        <f aca="false">IF($N52="","",ROUNDUP($N52/Parámetros!$B$19*(1+Parámetros!$B$17),0))</f>
        <v/>
      </c>
      <c r="P52" s="23" t="str">
        <f aca="false">IF($J52="","",MOD($J52-1,Parámetros!$B$16)+1)</f>
        <v/>
      </c>
      <c r="Q52" s="12"/>
      <c r="R52" s="25" t="str">
        <f aca="false">IF(OR($J52="",$O52=""),"",IF($Q52&lt;&gt;"",$Q52,WORKDAY(Parámetros!$B$13-1,SUMIFS($O$5:$O$104,$P$5:$P$104,$P52,$J$5:$J$104,"&lt;"&amp;$J52)+1,Parámetros!$G$6:$G$25)))</f>
        <v/>
      </c>
      <c r="S52" s="25" t="str">
        <f aca="false">IF($R52="","",WORKDAY($R52-1,$O52,Parámetros!$G$6:$G$25))</f>
        <v/>
      </c>
      <c r="T52" s="12"/>
      <c r="U52" s="11"/>
      <c r="V52" s="22"/>
      <c r="W52" s="21"/>
      <c r="X52" s="21"/>
      <c r="Y52" s="21"/>
    </row>
    <row r="53" customFormat="false" ht="15" hidden="false" customHeight="false" outlineLevel="0" collapsed="false">
      <c r="A53" s="13"/>
      <c r="B53" s="21"/>
      <c r="C53" s="22"/>
      <c r="D53" s="13"/>
      <c r="E53" s="22"/>
      <c r="F53" s="22"/>
      <c r="G53" s="22"/>
      <c r="H53" s="22"/>
      <c r="I53" s="23" t="str">
        <f aca="false">IF(OR($A53="",$L53="Cerrado",COUNT($E53:$H53)&lt;4),"",$E53+$F53+$G53-$H53)</f>
        <v/>
      </c>
      <c r="J53" s="23" t="str">
        <f aca="false">IF($I53="","",RANK($I53,$I$5:$I$104)+COUNTIF($I$4:$I52,$I53))</f>
        <v/>
      </c>
      <c r="K53" s="22"/>
      <c r="L53" s="13"/>
      <c r="M53" s="22"/>
      <c r="N53" s="24" t="str">
        <f aca="false">IF(OR($A53="",$K53=""),"",INDEX(Parámetros!$B$32:$D$32,MATCH($K53,Parámetros!$B$22:$D$22,0)))</f>
        <v/>
      </c>
      <c r="O53" s="23" t="str">
        <f aca="false">IF($N53="","",ROUNDUP($N53/Parámetros!$B$19*(1+Parámetros!$B$17),0))</f>
        <v/>
      </c>
      <c r="P53" s="23" t="str">
        <f aca="false">IF($J53="","",MOD($J53-1,Parámetros!$B$16)+1)</f>
        <v/>
      </c>
      <c r="Q53" s="12"/>
      <c r="R53" s="25" t="str">
        <f aca="false">IF(OR($J53="",$O53=""),"",IF($Q53&lt;&gt;"",$Q53,WORKDAY(Parámetros!$B$13-1,SUMIFS($O$5:$O$104,$P$5:$P$104,$P53,$J$5:$J$104,"&lt;"&amp;$J53)+1,Parámetros!$G$6:$G$25)))</f>
        <v/>
      </c>
      <c r="S53" s="25" t="str">
        <f aca="false">IF($R53="","",WORKDAY($R53-1,$O53,Parámetros!$G$6:$G$25))</f>
        <v/>
      </c>
      <c r="T53" s="12"/>
      <c r="U53" s="11"/>
      <c r="V53" s="22"/>
      <c r="W53" s="21"/>
      <c r="X53" s="21"/>
      <c r="Y53" s="21"/>
    </row>
    <row r="54" customFormat="false" ht="15" hidden="false" customHeight="false" outlineLevel="0" collapsed="false">
      <c r="A54" s="13"/>
      <c r="B54" s="21"/>
      <c r="C54" s="22"/>
      <c r="D54" s="13"/>
      <c r="E54" s="22"/>
      <c r="F54" s="22"/>
      <c r="G54" s="22"/>
      <c r="H54" s="22"/>
      <c r="I54" s="23" t="str">
        <f aca="false">IF(OR($A54="",$L54="Cerrado",COUNT($E54:$H54)&lt;4),"",$E54+$F54+$G54-$H54)</f>
        <v/>
      </c>
      <c r="J54" s="23" t="str">
        <f aca="false">IF($I54="","",RANK($I54,$I$5:$I$104)+COUNTIF($I$4:$I53,$I54))</f>
        <v/>
      </c>
      <c r="K54" s="22"/>
      <c r="L54" s="13"/>
      <c r="M54" s="22"/>
      <c r="N54" s="24" t="str">
        <f aca="false">IF(OR($A54="",$K54=""),"",INDEX(Parámetros!$B$32:$D$32,MATCH($K54,Parámetros!$B$22:$D$22,0)))</f>
        <v/>
      </c>
      <c r="O54" s="23" t="str">
        <f aca="false">IF($N54="","",ROUNDUP($N54/Parámetros!$B$19*(1+Parámetros!$B$17),0))</f>
        <v/>
      </c>
      <c r="P54" s="23" t="str">
        <f aca="false">IF($J54="","",MOD($J54-1,Parámetros!$B$16)+1)</f>
        <v/>
      </c>
      <c r="Q54" s="12"/>
      <c r="R54" s="25" t="str">
        <f aca="false">IF(OR($J54="",$O54=""),"",IF($Q54&lt;&gt;"",$Q54,WORKDAY(Parámetros!$B$13-1,SUMIFS($O$5:$O$104,$P$5:$P$104,$P54,$J$5:$J$104,"&lt;"&amp;$J54)+1,Parámetros!$G$6:$G$25)))</f>
        <v/>
      </c>
      <c r="S54" s="25" t="str">
        <f aca="false">IF($R54="","",WORKDAY($R54-1,$O54,Parámetros!$G$6:$G$25))</f>
        <v/>
      </c>
      <c r="T54" s="12"/>
      <c r="U54" s="11"/>
      <c r="V54" s="22"/>
      <c r="W54" s="21"/>
      <c r="X54" s="21"/>
      <c r="Y54" s="21"/>
    </row>
    <row r="55" customFormat="false" ht="15" hidden="false" customHeight="false" outlineLevel="0" collapsed="false">
      <c r="A55" s="13"/>
      <c r="B55" s="21"/>
      <c r="C55" s="22"/>
      <c r="D55" s="13"/>
      <c r="E55" s="22"/>
      <c r="F55" s="22"/>
      <c r="G55" s="22"/>
      <c r="H55" s="22"/>
      <c r="I55" s="23" t="str">
        <f aca="false">IF(OR($A55="",$L55="Cerrado",COUNT($E55:$H55)&lt;4),"",$E55+$F55+$G55-$H55)</f>
        <v/>
      </c>
      <c r="J55" s="23" t="str">
        <f aca="false">IF($I55="","",RANK($I55,$I$5:$I$104)+COUNTIF($I$4:$I54,$I55))</f>
        <v/>
      </c>
      <c r="K55" s="22"/>
      <c r="L55" s="13"/>
      <c r="M55" s="22"/>
      <c r="N55" s="24" t="str">
        <f aca="false">IF(OR($A55="",$K55=""),"",INDEX(Parámetros!$B$32:$D$32,MATCH($K55,Parámetros!$B$22:$D$22,0)))</f>
        <v/>
      </c>
      <c r="O55" s="23" t="str">
        <f aca="false">IF($N55="","",ROUNDUP($N55/Parámetros!$B$19*(1+Parámetros!$B$17),0))</f>
        <v/>
      </c>
      <c r="P55" s="23" t="str">
        <f aca="false">IF($J55="","",MOD($J55-1,Parámetros!$B$16)+1)</f>
        <v/>
      </c>
      <c r="Q55" s="12"/>
      <c r="R55" s="25" t="str">
        <f aca="false">IF(OR($J55="",$O55=""),"",IF($Q55&lt;&gt;"",$Q55,WORKDAY(Parámetros!$B$13-1,SUMIFS($O$5:$O$104,$P$5:$P$104,$P55,$J$5:$J$104,"&lt;"&amp;$J55)+1,Parámetros!$G$6:$G$25)))</f>
        <v/>
      </c>
      <c r="S55" s="25" t="str">
        <f aca="false">IF($R55="","",WORKDAY($R55-1,$O55,Parámetros!$G$6:$G$25))</f>
        <v/>
      </c>
      <c r="T55" s="12"/>
      <c r="U55" s="11"/>
      <c r="V55" s="22"/>
      <c r="W55" s="21"/>
      <c r="X55" s="21"/>
      <c r="Y55" s="21"/>
    </row>
    <row r="56" customFormat="false" ht="15" hidden="false" customHeight="false" outlineLevel="0" collapsed="false">
      <c r="A56" s="13"/>
      <c r="B56" s="21"/>
      <c r="C56" s="22"/>
      <c r="D56" s="13"/>
      <c r="E56" s="22"/>
      <c r="F56" s="22"/>
      <c r="G56" s="22"/>
      <c r="H56" s="22"/>
      <c r="I56" s="23" t="str">
        <f aca="false">IF(OR($A56="",$L56="Cerrado",COUNT($E56:$H56)&lt;4),"",$E56+$F56+$G56-$H56)</f>
        <v/>
      </c>
      <c r="J56" s="23" t="str">
        <f aca="false">IF($I56="","",RANK($I56,$I$5:$I$104)+COUNTIF($I$4:$I55,$I56))</f>
        <v/>
      </c>
      <c r="K56" s="22"/>
      <c r="L56" s="13"/>
      <c r="M56" s="22"/>
      <c r="N56" s="24" t="str">
        <f aca="false">IF(OR($A56="",$K56=""),"",INDEX(Parámetros!$B$32:$D$32,MATCH($K56,Parámetros!$B$22:$D$22,0)))</f>
        <v/>
      </c>
      <c r="O56" s="23" t="str">
        <f aca="false">IF($N56="","",ROUNDUP($N56/Parámetros!$B$19*(1+Parámetros!$B$17),0))</f>
        <v/>
      </c>
      <c r="P56" s="23" t="str">
        <f aca="false">IF($J56="","",MOD($J56-1,Parámetros!$B$16)+1)</f>
        <v/>
      </c>
      <c r="Q56" s="12"/>
      <c r="R56" s="25" t="str">
        <f aca="false">IF(OR($J56="",$O56=""),"",IF($Q56&lt;&gt;"",$Q56,WORKDAY(Parámetros!$B$13-1,SUMIFS($O$5:$O$104,$P$5:$P$104,$P56,$J$5:$J$104,"&lt;"&amp;$J56)+1,Parámetros!$G$6:$G$25)))</f>
        <v/>
      </c>
      <c r="S56" s="25" t="str">
        <f aca="false">IF($R56="","",WORKDAY($R56-1,$O56,Parámetros!$G$6:$G$25))</f>
        <v/>
      </c>
      <c r="T56" s="12"/>
      <c r="U56" s="11"/>
      <c r="V56" s="22"/>
      <c r="W56" s="21"/>
      <c r="X56" s="21"/>
      <c r="Y56" s="21"/>
    </row>
    <row r="57" customFormat="false" ht="15" hidden="false" customHeight="false" outlineLevel="0" collapsed="false">
      <c r="A57" s="13"/>
      <c r="B57" s="21"/>
      <c r="C57" s="22"/>
      <c r="D57" s="13"/>
      <c r="E57" s="22"/>
      <c r="F57" s="22"/>
      <c r="G57" s="22"/>
      <c r="H57" s="22"/>
      <c r="I57" s="23" t="str">
        <f aca="false">IF(OR($A57="",$L57="Cerrado",COUNT($E57:$H57)&lt;4),"",$E57+$F57+$G57-$H57)</f>
        <v/>
      </c>
      <c r="J57" s="23" t="str">
        <f aca="false">IF($I57="","",RANK($I57,$I$5:$I$104)+COUNTIF($I$4:$I56,$I57))</f>
        <v/>
      </c>
      <c r="K57" s="22"/>
      <c r="L57" s="13"/>
      <c r="M57" s="22"/>
      <c r="N57" s="24" t="str">
        <f aca="false">IF(OR($A57="",$K57=""),"",INDEX(Parámetros!$B$32:$D$32,MATCH($K57,Parámetros!$B$22:$D$22,0)))</f>
        <v/>
      </c>
      <c r="O57" s="23" t="str">
        <f aca="false">IF($N57="","",ROUNDUP($N57/Parámetros!$B$19*(1+Parámetros!$B$17),0))</f>
        <v/>
      </c>
      <c r="P57" s="23" t="str">
        <f aca="false">IF($J57="","",MOD($J57-1,Parámetros!$B$16)+1)</f>
        <v/>
      </c>
      <c r="Q57" s="12"/>
      <c r="R57" s="25" t="str">
        <f aca="false">IF(OR($J57="",$O57=""),"",IF($Q57&lt;&gt;"",$Q57,WORKDAY(Parámetros!$B$13-1,SUMIFS($O$5:$O$104,$P$5:$P$104,$P57,$J$5:$J$104,"&lt;"&amp;$J57)+1,Parámetros!$G$6:$G$25)))</f>
        <v/>
      </c>
      <c r="S57" s="25" t="str">
        <f aca="false">IF($R57="","",WORKDAY($R57-1,$O57,Parámetros!$G$6:$G$25))</f>
        <v/>
      </c>
      <c r="T57" s="12"/>
      <c r="U57" s="11"/>
      <c r="V57" s="22"/>
      <c r="W57" s="21"/>
      <c r="X57" s="21"/>
      <c r="Y57" s="21"/>
    </row>
    <row r="58" customFormat="false" ht="15" hidden="false" customHeight="false" outlineLevel="0" collapsed="false">
      <c r="A58" s="13"/>
      <c r="B58" s="21"/>
      <c r="C58" s="22"/>
      <c r="D58" s="13"/>
      <c r="E58" s="22"/>
      <c r="F58" s="22"/>
      <c r="G58" s="22"/>
      <c r="H58" s="22"/>
      <c r="I58" s="23" t="str">
        <f aca="false">IF(OR($A58="",$L58="Cerrado",COUNT($E58:$H58)&lt;4),"",$E58+$F58+$G58-$H58)</f>
        <v/>
      </c>
      <c r="J58" s="23" t="str">
        <f aca="false">IF($I58="","",RANK($I58,$I$5:$I$104)+COUNTIF($I$4:$I57,$I58))</f>
        <v/>
      </c>
      <c r="K58" s="22"/>
      <c r="L58" s="13"/>
      <c r="M58" s="22"/>
      <c r="N58" s="24" t="str">
        <f aca="false">IF(OR($A58="",$K58=""),"",INDEX(Parámetros!$B$32:$D$32,MATCH($K58,Parámetros!$B$22:$D$22,0)))</f>
        <v/>
      </c>
      <c r="O58" s="23" t="str">
        <f aca="false">IF($N58="","",ROUNDUP($N58/Parámetros!$B$19*(1+Parámetros!$B$17),0))</f>
        <v/>
      </c>
      <c r="P58" s="23" t="str">
        <f aca="false">IF($J58="","",MOD($J58-1,Parámetros!$B$16)+1)</f>
        <v/>
      </c>
      <c r="Q58" s="12"/>
      <c r="R58" s="25" t="str">
        <f aca="false">IF(OR($J58="",$O58=""),"",IF($Q58&lt;&gt;"",$Q58,WORKDAY(Parámetros!$B$13-1,SUMIFS($O$5:$O$104,$P$5:$P$104,$P58,$J$5:$J$104,"&lt;"&amp;$J58)+1,Parámetros!$G$6:$G$25)))</f>
        <v/>
      </c>
      <c r="S58" s="25" t="str">
        <f aca="false">IF($R58="","",WORKDAY($R58-1,$O58,Parámetros!$G$6:$G$25))</f>
        <v/>
      </c>
      <c r="T58" s="12"/>
      <c r="U58" s="11"/>
      <c r="V58" s="22"/>
      <c r="W58" s="21"/>
      <c r="X58" s="21"/>
      <c r="Y58" s="21"/>
    </row>
    <row r="59" customFormat="false" ht="15" hidden="false" customHeight="false" outlineLevel="0" collapsed="false">
      <c r="A59" s="13"/>
      <c r="B59" s="21"/>
      <c r="C59" s="22"/>
      <c r="D59" s="13"/>
      <c r="E59" s="22"/>
      <c r="F59" s="22"/>
      <c r="G59" s="22"/>
      <c r="H59" s="22"/>
      <c r="I59" s="23" t="str">
        <f aca="false">IF(OR($A59="",$L59="Cerrado",COUNT($E59:$H59)&lt;4),"",$E59+$F59+$G59-$H59)</f>
        <v/>
      </c>
      <c r="J59" s="23" t="str">
        <f aca="false">IF($I59="","",RANK($I59,$I$5:$I$104)+COUNTIF($I$4:$I58,$I59))</f>
        <v/>
      </c>
      <c r="K59" s="22"/>
      <c r="L59" s="13"/>
      <c r="M59" s="22"/>
      <c r="N59" s="24" t="str">
        <f aca="false">IF(OR($A59="",$K59=""),"",INDEX(Parámetros!$B$32:$D$32,MATCH($K59,Parámetros!$B$22:$D$22,0)))</f>
        <v/>
      </c>
      <c r="O59" s="23" t="str">
        <f aca="false">IF($N59="","",ROUNDUP($N59/Parámetros!$B$19*(1+Parámetros!$B$17),0))</f>
        <v/>
      </c>
      <c r="P59" s="23" t="str">
        <f aca="false">IF($J59="","",MOD($J59-1,Parámetros!$B$16)+1)</f>
        <v/>
      </c>
      <c r="Q59" s="12"/>
      <c r="R59" s="25" t="str">
        <f aca="false">IF(OR($J59="",$O59=""),"",IF($Q59&lt;&gt;"",$Q59,WORKDAY(Parámetros!$B$13-1,SUMIFS($O$5:$O$104,$P$5:$P$104,$P59,$J$5:$J$104,"&lt;"&amp;$J59)+1,Parámetros!$G$6:$G$25)))</f>
        <v/>
      </c>
      <c r="S59" s="25" t="str">
        <f aca="false">IF($R59="","",WORKDAY($R59-1,$O59,Parámetros!$G$6:$G$25))</f>
        <v/>
      </c>
      <c r="T59" s="12"/>
      <c r="U59" s="11"/>
      <c r="V59" s="22"/>
      <c r="W59" s="21"/>
      <c r="X59" s="21"/>
      <c r="Y59" s="21"/>
    </row>
    <row r="60" customFormat="false" ht="15" hidden="false" customHeight="false" outlineLevel="0" collapsed="false">
      <c r="A60" s="13"/>
      <c r="B60" s="21"/>
      <c r="C60" s="22"/>
      <c r="D60" s="13"/>
      <c r="E60" s="22"/>
      <c r="F60" s="22"/>
      <c r="G60" s="22"/>
      <c r="H60" s="22"/>
      <c r="I60" s="23" t="str">
        <f aca="false">IF(OR($A60="",$L60="Cerrado",COUNT($E60:$H60)&lt;4),"",$E60+$F60+$G60-$H60)</f>
        <v/>
      </c>
      <c r="J60" s="23" t="str">
        <f aca="false">IF($I60="","",RANK($I60,$I$5:$I$104)+COUNTIF($I$4:$I59,$I60))</f>
        <v/>
      </c>
      <c r="K60" s="22"/>
      <c r="L60" s="13"/>
      <c r="M60" s="22"/>
      <c r="N60" s="24" t="str">
        <f aca="false">IF(OR($A60="",$K60=""),"",INDEX(Parámetros!$B$32:$D$32,MATCH($K60,Parámetros!$B$22:$D$22,0)))</f>
        <v/>
      </c>
      <c r="O60" s="23" t="str">
        <f aca="false">IF($N60="","",ROUNDUP($N60/Parámetros!$B$19*(1+Parámetros!$B$17),0))</f>
        <v/>
      </c>
      <c r="P60" s="23" t="str">
        <f aca="false">IF($J60="","",MOD($J60-1,Parámetros!$B$16)+1)</f>
        <v/>
      </c>
      <c r="Q60" s="12"/>
      <c r="R60" s="25" t="str">
        <f aca="false">IF(OR($J60="",$O60=""),"",IF($Q60&lt;&gt;"",$Q60,WORKDAY(Parámetros!$B$13-1,SUMIFS($O$5:$O$104,$P$5:$P$104,$P60,$J$5:$J$104,"&lt;"&amp;$J60)+1,Parámetros!$G$6:$G$25)))</f>
        <v/>
      </c>
      <c r="S60" s="25" t="str">
        <f aca="false">IF($R60="","",WORKDAY($R60-1,$O60,Parámetros!$G$6:$G$25))</f>
        <v/>
      </c>
      <c r="T60" s="12"/>
      <c r="U60" s="11"/>
      <c r="V60" s="22"/>
      <c r="W60" s="21"/>
      <c r="X60" s="21"/>
      <c r="Y60" s="21"/>
    </row>
    <row r="61" customFormat="false" ht="15" hidden="false" customHeight="false" outlineLevel="0" collapsed="false">
      <c r="A61" s="13"/>
      <c r="B61" s="21"/>
      <c r="C61" s="22"/>
      <c r="D61" s="13"/>
      <c r="E61" s="22"/>
      <c r="F61" s="22"/>
      <c r="G61" s="22"/>
      <c r="H61" s="22"/>
      <c r="I61" s="23" t="str">
        <f aca="false">IF(OR($A61="",$L61="Cerrado",COUNT($E61:$H61)&lt;4),"",$E61+$F61+$G61-$H61)</f>
        <v/>
      </c>
      <c r="J61" s="23" t="str">
        <f aca="false">IF($I61="","",RANK($I61,$I$5:$I$104)+COUNTIF($I$4:$I60,$I61))</f>
        <v/>
      </c>
      <c r="K61" s="22"/>
      <c r="L61" s="13"/>
      <c r="M61" s="22"/>
      <c r="N61" s="24" t="str">
        <f aca="false">IF(OR($A61="",$K61=""),"",INDEX(Parámetros!$B$32:$D$32,MATCH($K61,Parámetros!$B$22:$D$22,0)))</f>
        <v/>
      </c>
      <c r="O61" s="23" t="str">
        <f aca="false">IF($N61="","",ROUNDUP($N61/Parámetros!$B$19*(1+Parámetros!$B$17),0))</f>
        <v/>
      </c>
      <c r="P61" s="23" t="str">
        <f aca="false">IF($J61="","",MOD($J61-1,Parámetros!$B$16)+1)</f>
        <v/>
      </c>
      <c r="Q61" s="12"/>
      <c r="R61" s="25" t="str">
        <f aca="false">IF(OR($J61="",$O61=""),"",IF($Q61&lt;&gt;"",$Q61,WORKDAY(Parámetros!$B$13-1,SUMIFS($O$5:$O$104,$P$5:$P$104,$P61,$J$5:$J$104,"&lt;"&amp;$J61)+1,Parámetros!$G$6:$G$25)))</f>
        <v/>
      </c>
      <c r="S61" s="25" t="str">
        <f aca="false">IF($R61="","",WORKDAY($R61-1,$O61,Parámetros!$G$6:$G$25))</f>
        <v/>
      </c>
      <c r="T61" s="12"/>
      <c r="U61" s="11"/>
      <c r="V61" s="22"/>
      <c r="W61" s="21"/>
      <c r="X61" s="21"/>
      <c r="Y61" s="21"/>
    </row>
    <row r="62" customFormat="false" ht="15" hidden="false" customHeight="false" outlineLevel="0" collapsed="false">
      <c r="A62" s="13"/>
      <c r="B62" s="21"/>
      <c r="C62" s="22"/>
      <c r="D62" s="13"/>
      <c r="E62" s="22"/>
      <c r="F62" s="22"/>
      <c r="G62" s="22"/>
      <c r="H62" s="22"/>
      <c r="I62" s="23" t="str">
        <f aca="false">IF(OR($A62="",$L62="Cerrado",COUNT($E62:$H62)&lt;4),"",$E62+$F62+$G62-$H62)</f>
        <v/>
      </c>
      <c r="J62" s="23" t="str">
        <f aca="false">IF($I62="","",RANK($I62,$I$5:$I$104)+COUNTIF($I$4:$I61,$I62))</f>
        <v/>
      </c>
      <c r="K62" s="22"/>
      <c r="L62" s="13"/>
      <c r="M62" s="22"/>
      <c r="N62" s="24" t="str">
        <f aca="false">IF(OR($A62="",$K62=""),"",INDEX(Parámetros!$B$32:$D$32,MATCH($K62,Parámetros!$B$22:$D$22,0)))</f>
        <v/>
      </c>
      <c r="O62" s="23" t="str">
        <f aca="false">IF($N62="","",ROUNDUP($N62/Parámetros!$B$19*(1+Parámetros!$B$17),0))</f>
        <v/>
      </c>
      <c r="P62" s="23" t="str">
        <f aca="false">IF($J62="","",MOD($J62-1,Parámetros!$B$16)+1)</f>
        <v/>
      </c>
      <c r="Q62" s="12"/>
      <c r="R62" s="25" t="str">
        <f aca="false">IF(OR($J62="",$O62=""),"",IF($Q62&lt;&gt;"",$Q62,WORKDAY(Parámetros!$B$13-1,SUMIFS($O$5:$O$104,$P$5:$P$104,$P62,$J$5:$J$104,"&lt;"&amp;$J62)+1,Parámetros!$G$6:$G$25)))</f>
        <v/>
      </c>
      <c r="S62" s="25" t="str">
        <f aca="false">IF($R62="","",WORKDAY($R62-1,$O62,Parámetros!$G$6:$G$25))</f>
        <v/>
      </c>
      <c r="T62" s="12"/>
      <c r="U62" s="11"/>
      <c r="V62" s="22"/>
      <c r="W62" s="21"/>
      <c r="X62" s="21"/>
      <c r="Y62" s="21"/>
    </row>
    <row r="63" customFormat="false" ht="15" hidden="false" customHeight="false" outlineLevel="0" collapsed="false">
      <c r="A63" s="13"/>
      <c r="B63" s="21"/>
      <c r="C63" s="22"/>
      <c r="D63" s="13"/>
      <c r="E63" s="22"/>
      <c r="F63" s="22"/>
      <c r="G63" s="22"/>
      <c r="H63" s="22"/>
      <c r="I63" s="23" t="str">
        <f aca="false">IF(OR($A63="",$L63="Cerrado",COUNT($E63:$H63)&lt;4),"",$E63+$F63+$G63-$H63)</f>
        <v/>
      </c>
      <c r="J63" s="23" t="str">
        <f aca="false">IF($I63="","",RANK($I63,$I$5:$I$104)+COUNTIF($I$4:$I62,$I63))</f>
        <v/>
      </c>
      <c r="K63" s="22"/>
      <c r="L63" s="13"/>
      <c r="M63" s="22"/>
      <c r="N63" s="24" t="str">
        <f aca="false">IF(OR($A63="",$K63=""),"",INDEX(Parámetros!$B$32:$D$32,MATCH($K63,Parámetros!$B$22:$D$22,0)))</f>
        <v/>
      </c>
      <c r="O63" s="23" t="str">
        <f aca="false">IF($N63="","",ROUNDUP($N63/Parámetros!$B$19*(1+Parámetros!$B$17),0))</f>
        <v/>
      </c>
      <c r="P63" s="23" t="str">
        <f aca="false">IF($J63="","",MOD($J63-1,Parámetros!$B$16)+1)</f>
        <v/>
      </c>
      <c r="Q63" s="12"/>
      <c r="R63" s="25" t="str">
        <f aca="false">IF(OR($J63="",$O63=""),"",IF($Q63&lt;&gt;"",$Q63,WORKDAY(Parámetros!$B$13-1,SUMIFS($O$5:$O$104,$P$5:$P$104,$P63,$J$5:$J$104,"&lt;"&amp;$J63)+1,Parámetros!$G$6:$G$25)))</f>
        <v/>
      </c>
      <c r="S63" s="25" t="str">
        <f aca="false">IF($R63="","",WORKDAY($R63-1,$O63,Parámetros!$G$6:$G$25))</f>
        <v/>
      </c>
      <c r="T63" s="12"/>
      <c r="U63" s="11"/>
      <c r="V63" s="22"/>
      <c r="W63" s="21"/>
      <c r="X63" s="21"/>
      <c r="Y63" s="21"/>
    </row>
    <row r="64" customFormat="false" ht="15" hidden="false" customHeight="false" outlineLevel="0" collapsed="false">
      <c r="A64" s="13"/>
      <c r="B64" s="21"/>
      <c r="C64" s="22"/>
      <c r="D64" s="13"/>
      <c r="E64" s="22"/>
      <c r="F64" s="22"/>
      <c r="G64" s="22"/>
      <c r="H64" s="22"/>
      <c r="I64" s="23" t="str">
        <f aca="false">IF(OR($A64="",$L64="Cerrado",COUNT($E64:$H64)&lt;4),"",$E64+$F64+$G64-$H64)</f>
        <v/>
      </c>
      <c r="J64" s="23" t="str">
        <f aca="false">IF($I64="","",RANK($I64,$I$5:$I$104)+COUNTIF($I$4:$I63,$I64))</f>
        <v/>
      </c>
      <c r="K64" s="22"/>
      <c r="L64" s="13"/>
      <c r="M64" s="22"/>
      <c r="N64" s="24" t="str">
        <f aca="false">IF(OR($A64="",$K64=""),"",INDEX(Parámetros!$B$32:$D$32,MATCH($K64,Parámetros!$B$22:$D$22,0)))</f>
        <v/>
      </c>
      <c r="O64" s="23" t="str">
        <f aca="false">IF($N64="","",ROUNDUP($N64/Parámetros!$B$19*(1+Parámetros!$B$17),0))</f>
        <v/>
      </c>
      <c r="P64" s="23" t="str">
        <f aca="false">IF($J64="","",MOD($J64-1,Parámetros!$B$16)+1)</f>
        <v/>
      </c>
      <c r="Q64" s="12"/>
      <c r="R64" s="25" t="str">
        <f aca="false">IF(OR($J64="",$O64=""),"",IF($Q64&lt;&gt;"",$Q64,WORKDAY(Parámetros!$B$13-1,SUMIFS($O$5:$O$104,$P$5:$P$104,$P64,$J$5:$J$104,"&lt;"&amp;$J64)+1,Parámetros!$G$6:$G$25)))</f>
        <v/>
      </c>
      <c r="S64" s="25" t="str">
        <f aca="false">IF($R64="","",WORKDAY($R64-1,$O64,Parámetros!$G$6:$G$25))</f>
        <v/>
      </c>
      <c r="T64" s="12"/>
      <c r="U64" s="11"/>
      <c r="V64" s="22"/>
      <c r="W64" s="21"/>
      <c r="X64" s="21"/>
      <c r="Y64" s="21"/>
    </row>
    <row r="65" customFormat="false" ht="15" hidden="false" customHeight="false" outlineLevel="0" collapsed="false">
      <c r="A65" s="13"/>
      <c r="B65" s="21"/>
      <c r="C65" s="22"/>
      <c r="D65" s="13"/>
      <c r="E65" s="22"/>
      <c r="F65" s="22"/>
      <c r="G65" s="22"/>
      <c r="H65" s="22"/>
      <c r="I65" s="23" t="str">
        <f aca="false">IF(OR($A65="",$L65="Cerrado",COUNT($E65:$H65)&lt;4),"",$E65+$F65+$G65-$H65)</f>
        <v/>
      </c>
      <c r="J65" s="23" t="str">
        <f aca="false">IF($I65="","",RANK($I65,$I$5:$I$104)+COUNTIF($I$4:$I64,$I65))</f>
        <v/>
      </c>
      <c r="K65" s="22"/>
      <c r="L65" s="13"/>
      <c r="M65" s="22"/>
      <c r="N65" s="24" t="str">
        <f aca="false">IF(OR($A65="",$K65=""),"",INDEX(Parámetros!$B$32:$D$32,MATCH($K65,Parámetros!$B$22:$D$22,0)))</f>
        <v/>
      </c>
      <c r="O65" s="23" t="str">
        <f aca="false">IF($N65="","",ROUNDUP($N65/Parámetros!$B$19*(1+Parámetros!$B$17),0))</f>
        <v/>
      </c>
      <c r="P65" s="23" t="str">
        <f aca="false">IF($J65="","",MOD($J65-1,Parámetros!$B$16)+1)</f>
        <v/>
      </c>
      <c r="Q65" s="12"/>
      <c r="R65" s="25" t="str">
        <f aca="false">IF(OR($J65="",$O65=""),"",IF($Q65&lt;&gt;"",$Q65,WORKDAY(Parámetros!$B$13-1,SUMIFS($O$5:$O$104,$P$5:$P$104,$P65,$J$5:$J$104,"&lt;"&amp;$J65)+1,Parámetros!$G$6:$G$25)))</f>
        <v/>
      </c>
      <c r="S65" s="25" t="str">
        <f aca="false">IF($R65="","",WORKDAY($R65-1,$O65,Parámetros!$G$6:$G$25))</f>
        <v/>
      </c>
      <c r="T65" s="12"/>
      <c r="U65" s="11"/>
      <c r="V65" s="22"/>
      <c r="W65" s="21"/>
      <c r="X65" s="21"/>
      <c r="Y65" s="21"/>
    </row>
    <row r="66" customFormat="false" ht="15" hidden="false" customHeight="false" outlineLevel="0" collapsed="false">
      <c r="A66" s="13"/>
      <c r="B66" s="21"/>
      <c r="C66" s="22"/>
      <c r="D66" s="13"/>
      <c r="E66" s="22"/>
      <c r="F66" s="22"/>
      <c r="G66" s="22"/>
      <c r="H66" s="22"/>
      <c r="I66" s="23" t="str">
        <f aca="false">IF(OR($A66="",$L66="Cerrado",COUNT($E66:$H66)&lt;4),"",$E66+$F66+$G66-$H66)</f>
        <v/>
      </c>
      <c r="J66" s="23" t="str">
        <f aca="false">IF($I66="","",RANK($I66,$I$5:$I$104)+COUNTIF($I$4:$I65,$I66))</f>
        <v/>
      </c>
      <c r="K66" s="22"/>
      <c r="L66" s="13"/>
      <c r="M66" s="22"/>
      <c r="N66" s="24" t="str">
        <f aca="false">IF(OR($A66="",$K66=""),"",INDEX(Parámetros!$B$32:$D$32,MATCH($K66,Parámetros!$B$22:$D$22,0)))</f>
        <v/>
      </c>
      <c r="O66" s="23" t="str">
        <f aca="false">IF($N66="","",ROUNDUP($N66/Parámetros!$B$19*(1+Parámetros!$B$17),0))</f>
        <v/>
      </c>
      <c r="P66" s="23" t="str">
        <f aca="false">IF($J66="","",MOD($J66-1,Parámetros!$B$16)+1)</f>
        <v/>
      </c>
      <c r="Q66" s="12"/>
      <c r="R66" s="25" t="str">
        <f aca="false">IF(OR($J66="",$O66=""),"",IF($Q66&lt;&gt;"",$Q66,WORKDAY(Parámetros!$B$13-1,SUMIFS($O$5:$O$104,$P$5:$P$104,$P66,$J$5:$J$104,"&lt;"&amp;$J66)+1,Parámetros!$G$6:$G$25)))</f>
        <v/>
      </c>
      <c r="S66" s="25" t="str">
        <f aca="false">IF($R66="","",WORKDAY($R66-1,$O66,Parámetros!$G$6:$G$25))</f>
        <v/>
      </c>
      <c r="T66" s="12"/>
      <c r="U66" s="11"/>
      <c r="V66" s="22"/>
      <c r="W66" s="21"/>
      <c r="X66" s="21"/>
      <c r="Y66" s="21"/>
    </row>
    <row r="67" customFormat="false" ht="15" hidden="false" customHeight="false" outlineLevel="0" collapsed="false">
      <c r="A67" s="13"/>
      <c r="B67" s="21"/>
      <c r="C67" s="22"/>
      <c r="D67" s="13"/>
      <c r="E67" s="22"/>
      <c r="F67" s="22"/>
      <c r="G67" s="22"/>
      <c r="H67" s="22"/>
      <c r="I67" s="23" t="str">
        <f aca="false">IF(OR($A67="",$L67="Cerrado",COUNT($E67:$H67)&lt;4),"",$E67+$F67+$G67-$H67)</f>
        <v/>
      </c>
      <c r="J67" s="23" t="str">
        <f aca="false">IF($I67="","",RANK($I67,$I$5:$I$104)+COUNTIF($I$4:$I66,$I67))</f>
        <v/>
      </c>
      <c r="K67" s="22"/>
      <c r="L67" s="13"/>
      <c r="M67" s="22"/>
      <c r="N67" s="24" t="str">
        <f aca="false">IF(OR($A67="",$K67=""),"",INDEX(Parámetros!$B$32:$D$32,MATCH($K67,Parámetros!$B$22:$D$22,0)))</f>
        <v/>
      </c>
      <c r="O67" s="23" t="str">
        <f aca="false">IF($N67="","",ROUNDUP($N67/Parámetros!$B$19*(1+Parámetros!$B$17),0))</f>
        <v/>
      </c>
      <c r="P67" s="23" t="str">
        <f aca="false">IF($J67="","",MOD($J67-1,Parámetros!$B$16)+1)</f>
        <v/>
      </c>
      <c r="Q67" s="12"/>
      <c r="R67" s="25" t="str">
        <f aca="false">IF(OR($J67="",$O67=""),"",IF($Q67&lt;&gt;"",$Q67,WORKDAY(Parámetros!$B$13-1,SUMIFS($O$5:$O$104,$P$5:$P$104,$P67,$J$5:$J$104,"&lt;"&amp;$J67)+1,Parámetros!$G$6:$G$25)))</f>
        <v/>
      </c>
      <c r="S67" s="25" t="str">
        <f aca="false">IF($R67="","",WORKDAY($R67-1,$O67,Parámetros!$G$6:$G$25))</f>
        <v/>
      </c>
      <c r="T67" s="12"/>
      <c r="U67" s="11"/>
      <c r="V67" s="22"/>
      <c r="W67" s="21"/>
      <c r="X67" s="21"/>
      <c r="Y67" s="21"/>
    </row>
    <row r="68" customFormat="false" ht="15" hidden="false" customHeight="false" outlineLevel="0" collapsed="false">
      <c r="A68" s="13"/>
      <c r="B68" s="21"/>
      <c r="C68" s="22"/>
      <c r="D68" s="13"/>
      <c r="E68" s="22"/>
      <c r="F68" s="22"/>
      <c r="G68" s="22"/>
      <c r="H68" s="22"/>
      <c r="I68" s="23" t="str">
        <f aca="false">IF(OR($A68="",$L68="Cerrado",COUNT($E68:$H68)&lt;4),"",$E68+$F68+$G68-$H68)</f>
        <v/>
      </c>
      <c r="J68" s="23" t="str">
        <f aca="false">IF($I68="","",RANK($I68,$I$5:$I$104)+COUNTIF($I$4:$I67,$I68))</f>
        <v/>
      </c>
      <c r="K68" s="22"/>
      <c r="L68" s="13"/>
      <c r="M68" s="22"/>
      <c r="N68" s="24" t="str">
        <f aca="false">IF(OR($A68="",$K68=""),"",INDEX(Parámetros!$B$32:$D$32,MATCH($K68,Parámetros!$B$22:$D$22,0)))</f>
        <v/>
      </c>
      <c r="O68" s="23" t="str">
        <f aca="false">IF($N68="","",ROUNDUP($N68/Parámetros!$B$19*(1+Parámetros!$B$17),0))</f>
        <v/>
      </c>
      <c r="P68" s="23" t="str">
        <f aca="false">IF($J68="","",MOD($J68-1,Parámetros!$B$16)+1)</f>
        <v/>
      </c>
      <c r="Q68" s="12"/>
      <c r="R68" s="25" t="str">
        <f aca="false">IF(OR($J68="",$O68=""),"",IF($Q68&lt;&gt;"",$Q68,WORKDAY(Parámetros!$B$13-1,SUMIFS($O$5:$O$104,$P$5:$P$104,$P68,$J$5:$J$104,"&lt;"&amp;$J68)+1,Parámetros!$G$6:$G$25)))</f>
        <v/>
      </c>
      <c r="S68" s="25" t="str">
        <f aca="false">IF($R68="","",WORKDAY($R68-1,$O68,Parámetros!$G$6:$G$25))</f>
        <v/>
      </c>
      <c r="T68" s="12"/>
      <c r="U68" s="11"/>
      <c r="V68" s="22"/>
      <c r="W68" s="21"/>
      <c r="X68" s="21"/>
      <c r="Y68" s="21"/>
    </row>
    <row r="69" customFormat="false" ht="15" hidden="false" customHeight="false" outlineLevel="0" collapsed="false">
      <c r="A69" s="13"/>
      <c r="B69" s="21"/>
      <c r="C69" s="22"/>
      <c r="D69" s="13"/>
      <c r="E69" s="22"/>
      <c r="F69" s="22"/>
      <c r="G69" s="22"/>
      <c r="H69" s="22"/>
      <c r="I69" s="23" t="str">
        <f aca="false">IF(OR($A69="",$L69="Cerrado",COUNT($E69:$H69)&lt;4),"",$E69+$F69+$G69-$H69)</f>
        <v/>
      </c>
      <c r="J69" s="23" t="str">
        <f aca="false">IF($I69="","",RANK($I69,$I$5:$I$104)+COUNTIF($I$4:$I68,$I69))</f>
        <v/>
      </c>
      <c r="K69" s="22"/>
      <c r="L69" s="13"/>
      <c r="M69" s="22"/>
      <c r="N69" s="24" t="str">
        <f aca="false">IF(OR($A69="",$K69=""),"",INDEX(Parámetros!$B$32:$D$32,MATCH($K69,Parámetros!$B$22:$D$22,0)))</f>
        <v/>
      </c>
      <c r="O69" s="23" t="str">
        <f aca="false">IF($N69="","",ROUNDUP($N69/Parámetros!$B$19*(1+Parámetros!$B$17),0))</f>
        <v/>
      </c>
      <c r="P69" s="23" t="str">
        <f aca="false">IF($J69="","",MOD($J69-1,Parámetros!$B$16)+1)</f>
        <v/>
      </c>
      <c r="Q69" s="12"/>
      <c r="R69" s="25" t="str">
        <f aca="false">IF(OR($J69="",$O69=""),"",IF($Q69&lt;&gt;"",$Q69,WORKDAY(Parámetros!$B$13-1,SUMIFS($O$5:$O$104,$P$5:$P$104,$P69,$J$5:$J$104,"&lt;"&amp;$J69)+1,Parámetros!$G$6:$G$25)))</f>
        <v/>
      </c>
      <c r="S69" s="25" t="str">
        <f aca="false">IF($R69="","",WORKDAY($R69-1,$O69,Parámetros!$G$6:$G$25))</f>
        <v/>
      </c>
      <c r="T69" s="12"/>
      <c r="U69" s="11"/>
      <c r="V69" s="22"/>
      <c r="W69" s="21"/>
      <c r="X69" s="21"/>
      <c r="Y69" s="21"/>
    </row>
    <row r="70" customFormat="false" ht="15" hidden="false" customHeight="false" outlineLevel="0" collapsed="false">
      <c r="A70" s="13"/>
      <c r="B70" s="21"/>
      <c r="C70" s="22"/>
      <c r="D70" s="13"/>
      <c r="E70" s="22"/>
      <c r="F70" s="22"/>
      <c r="G70" s="22"/>
      <c r="H70" s="22"/>
      <c r="I70" s="23" t="str">
        <f aca="false">IF(OR($A70="",$L70="Cerrado",COUNT($E70:$H70)&lt;4),"",$E70+$F70+$G70-$H70)</f>
        <v/>
      </c>
      <c r="J70" s="23" t="str">
        <f aca="false">IF($I70="","",RANK($I70,$I$5:$I$104)+COUNTIF($I$4:$I69,$I70))</f>
        <v/>
      </c>
      <c r="K70" s="22"/>
      <c r="L70" s="13"/>
      <c r="M70" s="22"/>
      <c r="N70" s="24" t="str">
        <f aca="false">IF(OR($A70="",$K70=""),"",INDEX(Parámetros!$B$32:$D$32,MATCH($K70,Parámetros!$B$22:$D$22,0)))</f>
        <v/>
      </c>
      <c r="O70" s="23" t="str">
        <f aca="false">IF($N70="","",ROUNDUP($N70/Parámetros!$B$19*(1+Parámetros!$B$17),0))</f>
        <v/>
      </c>
      <c r="P70" s="23" t="str">
        <f aca="false">IF($J70="","",MOD($J70-1,Parámetros!$B$16)+1)</f>
        <v/>
      </c>
      <c r="Q70" s="12"/>
      <c r="R70" s="25" t="str">
        <f aca="false">IF(OR($J70="",$O70=""),"",IF($Q70&lt;&gt;"",$Q70,WORKDAY(Parámetros!$B$13-1,SUMIFS($O$5:$O$104,$P$5:$P$104,$P70,$J$5:$J$104,"&lt;"&amp;$J70)+1,Parámetros!$G$6:$G$25)))</f>
        <v/>
      </c>
      <c r="S70" s="25" t="str">
        <f aca="false">IF($R70="","",WORKDAY($R70-1,$O70,Parámetros!$G$6:$G$25))</f>
        <v/>
      </c>
      <c r="T70" s="12"/>
      <c r="U70" s="11"/>
      <c r="V70" s="22"/>
      <c r="W70" s="21"/>
      <c r="X70" s="21"/>
      <c r="Y70" s="21"/>
    </row>
    <row r="71" customFormat="false" ht="15" hidden="false" customHeight="false" outlineLevel="0" collapsed="false">
      <c r="A71" s="13"/>
      <c r="B71" s="21"/>
      <c r="C71" s="22"/>
      <c r="D71" s="13"/>
      <c r="E71" s="22"/>
      <c r="F71" s="22"/>
      <c r="G71" s="22"/>
      <c r="H71" s="22"/>
      <c r="I71" s="23" t="str">
        <f aca="false">IF(OR($A71="",$L71="Cerrado",COUNT($E71:$H71)&lt;4),"",$E71+$F71+$G71-$H71)</f>
        <v/>
      </c>
      <c r="J71" s="23" t="str">
        <f aca="false">IF($I71="","",RANK($I71,$I$5:$I$104)+COUNTIF($I$4:$I70,$I71))</f>
        <v/>
      </c>
      <c r="K71" s="22"/>
      <c r="L71" s="13"/>
      <c r="M71" s="22"/>
      <c r="N71" s="24" t="str">
        <f aca="false">IF(OR($A71="",$K71=""),"",INDEX(Parámetros!$B$32:$D$32,MATCH($K71,Parámetros!$B$22:$D$22,0)))</f>
        <v/>
      </c>
      <c r="O71" s="23" t="str">
        <f aca="false">IF($N71="","",ROUNDUP($N71/Parámetros!$B$19*(1+Parámetros!$B$17),0))</f>
        <v/>
      </c>
      <c r="P71" s="23" t="str">
        <f aca="false">IF($J71="","",MOD($J71-1,Parámetros!$B$16)+1)</f>
        <v/>
      </c>
      <c r="Q71" s="12"/>
      <c r="R71" s="25" t="str">
        <f aca="false">IF(OR($J71="",$O71=""),"",IF($Q71&lt;&gt;"",$Q71,WORKDAY(Parámetros!$B$13-1,SUMIFS($O$5:$O$104,$P$5:$P$104,$P71,$J$5:$J$104,"&lt;"&amp;$J71)+1,Parámetros!$G$6:$G$25)))</f>
        <v/>
      </c>
      <c r="S71" s="25" t="str">
        <f aca="false">IF($R71="","",WORKDAY($R71-1,$O71,Parámetros!$G$6:$G$25))</f>
        <v/>
      </c>
      <c r="T71" s="12"/>
      <c r="U71" s="11"/>
      <c r="V71" s="22"/>
      <c r="W71" s="21"/>
      <c r="X71" s="21"/>
      <c r="Y71" s="21"/>
    </row>
    <row r="72" customFormat="false" ht="15" hidden="false" customHeight="false" outlineLevel="0" collapsed="false">
      <c r="A72" s="13"/>
      <c r="B72" s="21"/>
      <c r="C72" s="22"/>
      <c r="D72" s="13"/>
      <c r="E72" s="22"/>
      <c r="F72" s="22"/>
      <c r="G72" s="22"/>
      <c r="H72" s="22"/>
      <c r="I72" s="23" t="str">
        <f aca="false">IF(OR($A72="",$L72="Cerrado",COUNT($E72:$H72)&lt;4),"",$E72+$F72+$G72-$H72)</f>
        <v/>
      </c>
      <c r="J72" s="23" t="str">
        <f aca="false">IF($I72="","",RANK($I72,$I$5:$I$104)+COUNTIF($I$4:$I71,$I72))</f>
        <v/>
      </c>
      <c r="K72" s="22"/>
      <c r="L72" s="13"/>
      <c r="M72" s="22"/>
      <c r="N72" s="24" t="str">
        <f aca="false">IF(OR($A72="",$K72=""),"",INDEX(Parámetros!$B$32:$D$32,MATCH($K72,Parámetros!$B$22:$D$22,0)))</f>
        <v/>
      </c>
      <c r="O72" s="23" t="str">
        <f aca="false">IF($N72="","",ROUNDUP($N72/Parámetros!$B$19*(1+Parámetros!$B$17),0))</f>
        <v/>
      </c>
      <c r="P72" s="23" t="str">
        <f aca="false">IF($J72="","",MOD($J72-1,Parámetros!$B$16)+1)</f>
        <v/>
      </c>
      <c r="Q72" s="12"/>
      <c r="R72" s="25" t="str">
        <f aca="false">IF(OR($J72="",$O72=""),"",IF($Q72&lt;&gt;"",$Q72,WORKDAY(Parámetros!$B$13-1,SUMIFS($O$5:$O$104,$P$5:$P$104,$P72,$J$5:$J$104,"&lt;"&amp;$J72)+1,Parámetros!$G$6:$G$25)))</f>
        <v/>
      </c>
      <c r="S72" s="25" t="str">
        <f aca="false">IF($R72="","",WORKDAY($R72-1,$O72,Parámetros!$G$6:$G$25))</f>
        <v/>
      </c>
      <c r="T72" s="12"/>
      <c r="U72" s="11"/>
      <c r="V72" s="22"/>
      <c r="W72" s="21"/>
      <c r="X72" s="21"/>
      <c r="Y72" s="21"/>
    </row>
    <row r="73" customFormat="false" ht="15" hidden="false" customHeight="false" outlineLevel="0" collapsed="false">
      <c r="A73" s="13"/>
      <c r="B73" s="21"/>
      <c r="C73" s="22"/>
      <c r="D73" s="13"/>
      <c r="E73" s="22"/>
      <c r="F73" s="22"/>
      <c r="G73" s="22"/>
      <c r="H73" s="22"/>
      <c r="I73" s="23" t="str">
        <f aca="false">IF(OR($A73="",$L73="Cerrado",COUNT($E73:$H73)&lt;4),"",$E73+$F73+$G73-$H73)</f>
        <v/>
      </c>
      <c r="J73" s="23" t="str">
        <f aca="false">IF($I73="","",RANK($I73,$I$5:$I$104)+COUNTIF($I$4:$I72,$I73))</f>
        <v/>
      </c>
      <c r="K73" s="22"/>
      <c r="L73" s="13"/>
      <c r="M73" s="22"/>
      <c r="N73" s="24" t="str">
        <f aca="false">IF(OR($A73="",$K73=""),"",INDEX(Parámetros!$B$32:$D$32,MATCH($K73,Parámetros!$B$22:$D$22,0)))</f>
        <v/>
      </c>
      <c r="O73" s="23" t="str">
        <f aca="false">IF($N73="","",ROUNDUP($N73/Parámetros!$B$19*(1+Parámetros!$B$17),0))</f>
        <v/>
      </c>
      <c r="P73" s="23" t="str">
        <f aca="false">IF($J73="","",MOD($J73-1,Parámetros!$B$16)+1)</f>
        <v/>
      </c>
      <c r="Q73" s="12"/>
      <c r="R73" s="25" t="str">
        <f aca="false">IF(OR($J73="",$O73=""),"",IF($Q73&lt;&gt;"",$Q73,WORKDAY(Parámetros!$B$13-1,SUMIFS($O$5:$O$104,$P$5:$P$104,$P73,$J$5:$J$104,"&lt;"&amp;$J73)+1,Parámetros!$G$6:$G$25)))</f>
        <v/>
      </c>
      <c r="S73" s="25" t="str">
        <f aca="false">IF($R73="","",WORKDAY($R73-1,$O73,Parámetros!$G$6:$G$25))</f>
        <v/>
      </c>
      <c r="T73" s="12"/>
      <c r="U73" s="11"/>
      <c r="V73" s="22"/>
      <c r="W73" s="21"/>
      <c r="X73" s="21"/>
      <c r="Y73" s="21"/>
    </row>
    <row r="74" customFormat="false" ht="15" hidden="false" customHeight="false" outlineLevel="0" collapsed="false">
      <c r="A74" s="13"/>
      <c r="B74" s="21"/>
      <c r="C74" s="22"/>
      <c r="D74" s="13"/>
      <c r="E74" s="22"/>
      <c r="F74" s="22"/>
      <c r="G74" s="22"/>
      <c r="H74" s="22"/>
      <c r="I74" s="23" t="str">
        <f aca="false">IF(OR($A74="",$L74="Cerrado",COUNT($E74:$H74)&lt;4),"",$E74+$F74+$G74-$H74)</f>
        <v/>
      </c>
      <c r="J74" s="23" t="str">
        <f aca="false">IF($I74="","",RANK($I74,$I$5:$I$104)+COUNTIF($I$4:$I73,$I74))</f>
        <v/>
      </c>
      <c r="K74" s="22"/>
      <c r="L74" s="13"/>
      <c r="M74" s="22"/>
      <c r="N74" s="24" t="str">
        <f aca="false">IF(OR($A74="",$K74=""),"",INDEX(Parámetros!$B$32:$D$32,MATCH($K74,Parámetros!$B$22:$D$22,0)))</f>
        <v/>
      </c>
      <c r="O74" s="23" t="str">
        <f aca="false">IF($N74="","",ROUNDUP($N74/Parámetros!$B$19*(1+Parámetros!$B$17),0))</f>
        <v/>
      </c>
      <c r="P74" s="23" t="str">
        <f aca="false">IF($J74="","",MOD($J74-1,Parámetros!$B$16)+1)</f>
        <v/>
      </c>
      <c r="Q74" s="12"/>
      <c r="R74" s="25" t="str">
        <f aca="false">IF(OR($J74="",$O74=""),"",IF($Q74&lt;&gt;"",$Q74,WORKDAY(Parámetros!$B$13-1,SUMIFS($O$5:$O$104,$P$5:$P$104,$P74,$J$5:$J$104,"&lt;"&amp;$J74)+1,Parámetros!$G$6:$G$25)))</f>
        <v/>
      </c>
      <c r="S74" s="25" t="str">
        <f aca="false">IF($R74="","",WORKDAY($R74-1,$O74,Parámetros!$G$6:$G$25))</f>
        <v/>
      </c>
      <c r="T74" s="12"/>
      <c r="U74" s="11"/>
      <c r="V74" s="22"/>
      <c r="W74" s="21"/>
      <c r="X74" s="21"/>
      <c r="Y74" s="21"/>
    </row>
    <row r="75" customFormat="false" ht="15" hidden="false" customHeight="false" outlineLevel="0" collapsed="false">
      <c r="A75" s="13"/>
      <c r="B75" s="21"/>
      <c r="C75" s="22"/>
      <c r="D75" s="13"/>
      <c r="E75" s="22"/>
      <c r="F75" s="22"/>
      <c r="G75" s="22"/>
      <c r="H75" s="22"/>
      <c r="I75" s="23" t="str">
        <f aca="false">IF(OR($A75="",$L75="Cerrado",COUNT($E75:$H75)&lt;4),"",$E75+$F75+$G75-$H75)</f>
        <v/>
      </c>
      <c r="J75" s="23" t="str">
        <f aca="false">IF($I75="","",RANK($I75,$I$5:$I$104)+COUNTIF($I$4:$I74,$I75))</f>
        <v/>
      </c>
      <c r="K75" s="22"/>
      <c r="L75" s="13"/>
      <c r="M75" s="22"/>
      <c r="N75" s="24" t="str">
        <f aca="false">IF(OR($A75="",$K75=""),"",INDEX(Parámetros!$B$32:$D$32,MATCH($K75,Parámetros!$B$22:$D$22,0)))</f>
        <v/>
      </c>
      <c r="O75" s="23" t="str">
        <f aca="false">IF($N75="","",ROUNDUP($N75/Parámetros!$B$19*(1+Parámetros!$B$17),0))</f>
        <v/>
      </c>
      <c r="P75" s="23" t="str">
        <f aca="false">IF($J75="","",MOD($J75-1,Parámetros!$B$16)+1)</f>
        <v/>
      </c>
      <c r="Q75" s="12"/>
      <c r="R75" s="25" t="str">
        <f aca="false">IF(OR($J75="",$O75=""),"",IF($Q75&lt;&gt;"",$Q75,WORKDAY(Parámetros!$B$13-1,SUMIFS($O$5:$O$104,$P$5:$P$104,$P75,$J$5:$J$104,"&lt;"&amp;$J75)+1,Parámetros!$G$6:$G$25)))</f>
        <v/>
      </c>
      <c r="S75" s="25" t="str">
        <f aca="false">IF($R75="","",WORKDAY($R75-1,$O75,Parámetros!$G$6:$G$25))</f>
        <v/>
      </c>
      <c r="T75" s="12"/>
      <c r="U75" s="11"/>
      <c r="V75" s="22"/>
      <c r="W75" s="21"/>
      <c r="X75" s="21"/>
      <c r="Y75" s="21"/>
    </row>
    <row r="76" customFormat="false" ht="15" hidden="false" customHeight="false" outlineLevel="0" collapsed="false">
      <c r="A76" s="13"/>
      <c r="B76" s="21"/>
      <c r="C76" s="22"/>
      <c r="D76" s="13"/>
      <c r="E76" s="22"/>
      <c r="F76" s="22"/>
      <c r="G76" s="22"/>
      <c r="H76" s="22"/>
      <c r="I76" s="23" t="str">
        <f aca="false">IF(OR($A76="",$L76="Cerrado",COUNT($E76:$H76)&lt;4),"",$E76+$F76+$G76-$H76)</f>
        <v/>
      </c>
      <c r="J76" s="23" t="str">
        <f aca="false">IF($I76="","",RANK($I76,$I$5:$I$104)+COUNTIF($I$4:$I75,$I76))</f>
        <v/>
      </c>
      <c r="K76" s="22"/>
      <c r="L76" s="13"/>
      <c r="M76" s="22"/>
      <c r="N76" s="24" t="str">
        <f aca="false">IF(OR($A76="",$K76=""),"",INDEX(Parámetros!$B$32:$D$32,MATCH($K76,Parámetros!$B$22:$D$22,0)))</f>
        <v/>
      </c>
      <c r="O76" s="23" t="str">
        <f aca="false">IF($N76="","",ROUNDUP($N76/Parámetros!$B$19*(1+Parámetros!$B$17),0))</f>
        <v/>
      </c>
      <c r="P76" s="23" t="str">
        <f aca="false">IF($J76="","",MOD($J76-1,Parámetros!$B$16)+1)</f>
        <v/>
      </c>
      <c r="Q76" s="12"/>
      <c r="R76" s="25" t="str">
        <f aca="false">IF(OR($J76="",$O76=""),"",IF($Q76&lt;&gt;"",$Q76,WORKDAY(Parámetros!$B$13-1,SUMIFS($O$5:$O$104,$P$5:$P$104,$P76,$J$5:$J$104,"&lt;"&amp;$J76)+1,Parámetros!$G$6:$G$25)))</f>
        <v/>
      </c>
      <c r="S76" s="25" t="str">
        <f aca="false">IF($R76="","",WORKDAY($R76-1,$O76,Parámetros!$G$6:$G$25))</f>
        <v/>
      </c>
      <c r="T76" s="12"/>
      <c r="U76" s="11"/>
      <c r="V76" s="22"/>
      <c r="W76" s="21"/>
      <c r="X76" s="21"/>
      <c r="Y76" s="21"/>
    </row>
    <row r="77" customFormat="false" ht="15" hidden="false" customHeight="false" outlineLevel="0" collapsed="false">
      <c r="A77" s="13"/>
      <c r="B77" s="21"/>
      <c r="C77" s="22"/>
      <c r="D77" s="13"/>
      <c r="E77" s="22"/>
      <c r="F77" s="22"/>
      <c r="G77" s="22"/>
      <c r="H77" s="22"/>
      <c r="I77" s="23" t="str">
        <f aca="false">IF(OR($A77="",$L77="Cerrado",COUNT($E77:$H77)&lt;4),"",$E77+$F77+$G77-$H77)</f>
        <v/>
      </c>
      <c r="J77" s="23" t="str">
        <f aca="false">IF($I77="","",RANK($I77,$I$5:$I$104)+COUNTIF($I$4:$I76,$I77))</f>
        <v/>
      </c>
      <c r="K77" s="22"/>
      <c r="L77" s="13"/>
      <c r="M77" s="22"/>
      <c r="N77" s="24" t="str">
        <f aca="false">IF(OR($A77="",$K77=""),"",INDEX(Parámetros!$B$32:$D$32,MATCH($K77,Parámetros!$B$22:$D$22,0)))</f>
        <v/>
      </c>
      <c r="O77" s="23" t="str">
        <f aca="false">IF($N77="","",ROUNDUP($N77/Parámetros!$B$19*(1+Parámetros!$B$17),0))</f>
        <v/>
      </c>
      <c r="P77" s="23" t="str">
        <f aca="false">IF($J77="","",MOD($J77-1,Parámetros!$B$16)+1)</f>
        <v/>
      </c>
      <c r="Q77" s="12"/>
      <c r="R77" s="25" t="str">
        <f aca="false">IF(OR($J77="",$O77=""),"",IF($Q77&lt;&gt;"",$Q77,WORKDAY(Parámetros!$B$13-1,SUMIFS($O$5:$O$104,$P$5:$P$104,$P77,$J$5:$J$104,"&lt;"&amp;$J77)+1,Parámetros!$G$6:$G$25)))</f>
        <v/>
      </c>
      <c r="S77" s="25" t="str">
        <f aca="false">IF($R77="","",WORKDAY($R77-1,$O77,Parámetros!$G$6:$G$25))</f>
        <v/>
      </c>
      <c r="T77" s="12"/>
      <c r="U77" s="11"/>
      <c r="V77" s="22"/>
      <c r="W77" s="21"/>
      <c r="X77" s="21"/>
      <c r="Y77" s="21"/>
    </row>
    <row r="78" customFormat="false" ht="15" hidden="false" customHeight="false" outlineLevel="0" collapsed="false">
      <c r="A78" s="13"/>
      <c r="B78" s="21"/>
      <c r="C78" s="22"/>
      <c r="D78" s="13"/>
      <c r="E78" s="22"/>
      <c r="F78" s="22"/>
      <c r="G78" s="22"/>
      <c r="H78" s="22"/>
      <c r="I78" s="23" t="str">
        <f aca="false">IF(OR($A78="",$L78="Cerrado",COUNT($E78:$H78)&lt;4),"",$E78+$F78+$G78-$H78)</f>
        <v/>
      </c>
      <c r="J78" s="23" t="str">
        <f aca="false">IF($I78="","",RANK($I78,$I$5:$I$104)+COUNTIF($I$4:$I77,$I78))</f>
        <v/>
      </c>
      <c r="K78" s="22"/>
      <c r="L78" s="13"/>
      <c r="M78" s="22"/>
      <c r="N78" s="24" t="str">
        <f aca="false">IF(OR($A78="",$K78=""),"",INDEX(Parámetros!$B$32:$D$32,MATCH($K78,Parámetros!$B$22:$D$22,0)))</f>
        <v/>
      </c>
      <c r="O78" s="23" t="str">
        <f aca="false">IF($N78="","",ROUNDUP($N78/Parámetros!$B$19*(1+Parámetros!$B$17),0))</f>
        <v/>
      </c>
      <c r="P78" s="23" t="str">
        <f aca="false">IF($J78="","",MOD($J78-1,Parámetros!$B$16)+1)</f>
        <v/>
      </c>
      <c r="Q78" s="12"/>
      <c r="R78" s="25" t="str">
        <f aca="false">IF(OR($J78="",$O78=""),"",IF($Q78&lt;&gt;"",$Q78,WORKDAY(Parámetros!$B$13-1,SUMIFS($O$5:$O$104,$P$5:$P$104,$P78,$J$5:$J$104,"&lt;"&amp;$J78)+1,Parámetros!$G$6:$G$25)))</f>
        <v/>
      </c>
      <c r="S78" s="25" t="str">
        <f aca="false">IF($R78="","",WORKDAY($R78-1,$O78,Parámetros!$G$6:$G$25))</f>
        <v/>
      </c>
      <c r="T78" s="12"/>
      <c r="U78" s="11"/>
      <c r="V78" s="22"/>
      <c r="W78" s="21"/>
      <c r="X78" s="21"/>
      <c r="Y78" s="21"/>
    </row>
    <row r="79" customFormat="false" ht="15" hidden="false" customHeight="false" outlineLevel="0" collapsed="false">
      <c r="A79" s="13"/>
      <c r="B79" s="21"/>
      <c r="C79" s="22"/>
      <c r="D79" s="13"/>
      <c r="E79" s="22"/>
      <c r="F79" s="22"/>
      <c r="G79" s="22"/>
      <c r="H79" s="22"/>
      <c r="I79" s="23" t="str">
        <f aca="false">IF(OR($A79="",$L79="Cerrado",COUNT($E79:$H79)&lt;4),"",$E79+$F79+$G79-$H79)</f>
        <v/>
      </c>
      <c r="J79" s="23" t="str">
        <f aca="false">IF($I79="","",RANK($I79,$I$5:$I$104)+COUNTIF($I$4:$I78,$I79))</f>
        <v/>
      </c>
      <c r="K79" s="22"/>
      <c r="L79" s="13"/>
      <c r="M79" s="22"/>
      <c r="N79" s="24" t="str">
        <f aca="false">IF(OR($A79="",$K79=""),"",INDEX(Parámetros!$B$32:$D$32,MATCH($K79,Parámetros!$B$22:$D$22,0)))</f>
        <v/>
      </c>
      <c r="O79" s="23" t="str">
        <f aca="false">IF($N79="","",ROUNDUP($N79/Parámetros!$B$19*(1+Parámetros!$B$17),0))</f>
        <v/>
      </c>
      <c r="P79" s="23" t="str">
        <f aca="false">IF($J79="","",MOD($J79-1,Parámetros!$B$16)+1)</f>
        <v/>
      </c>
      <c r="Q79" s="12"/>
      <c r="R79" s="25" t="str">
        <f aca="false">IF(OR($J79="",$O79=""),"",IF($Q79&lt;&gt;"",$Q79,WORKDAY(Parámetros!$B$13-1,SUMIFS($O$5:$O$104,$P$5:$P$104,$P79,$J$5:$J$104,"&lt;"&amp;$J79)+1,Parámetros!$G$6:$G$25)))</f>
        <v/>
      </c>
      <c r="S79" s="25" t="str">
        <f aca="false">IF($R79="","",WORKDAY($R79-1,$O79,Parámetros!$G$6:$G$25))</f>
        <v/>
      </c>
      <c r="T79" s="12"/>
      <c r="U79" s="11"/>
      <c r="V79" s="22"/>
      <c r="W79" s="21"/>
      <c r="X79" s="21"/>
      <c r="Y79" s="21"/>
    </row>
    <row r="80" customFormat="false" ht="15" hidden="false" customHeight="false" outlineLevel="0" collapsed="false">
      <c r="A80" s="13"/>
      <c r="B80" s="21"/>
      <c r="C80" s="22"/>
      <c r="D80" s="13"/>
      <c r="E80" s="22"/>
      <c r="F80" s="22"/>
      <c r="G80" s="22"/>
      <c r="H80" s="22"/>
      <c r="I80" s="23" t="str">
        <f aca="false">IF(OR($A80="",$L80="Cerrado",COUNT($E80:$H80)&lt;4),"",$E80+$F80+$G80-$H80)</f>
        <v/>
      </c>
      <c r="J80" s="23" t="str">
        <f aca="false">IF($I80="","",RANK($I80,$I$5:$I$104)+COUNTIF($I$4:$I79,$I80))</f>
        <v/>
      </c>
      <c r="K80" s="22"/>
      <c r="L80" s="13"/>
      <c r="M80" s="22"/>
      <c r="N80" s="24" t="str">
        <f aca="false">IF(OR($A80="",$K80=""),"",INDEX(Parámetros!$B$32:$D$32,MATCH($K80,Parámetros!$B$22:$D$22,0)))</f>
        <v/>
      </c>
      <c r="O80" s="23" t="str">
        <f aca="false">IF($N80="","",ROUNDUP($N80/Parámetros!$B$19*(1+Parámetros!$B$17),0))</f>
        <v/>
      </c>
      <c r="P80" s="23" t="str">
        <f aca="false">IF($J80="","",MOD($J80-1,Parámetros!$B$16)+1)</f>
        <v/>
      </c>
      <c r="Q80" s="12"/>
      <c r="R80" s="25" t="str">
        <f aca="false">IF(OR($J80="",$O80=""),"",IF($Q80&lt;&gt;"",$Q80,WORKDAY(Parámetros!$B$13-1,SUMIFS($O$5:$O$104,$P$5:$P$104,$P80,$J$5:$J$104,"&lt;"&amp;$J80)+1,Parámetros!$G$6:$G$25)))</f>
        <v/>
      </c>
      <c r="S80" s="25" t="str">
        <f aca="false">IF($R80="","",WORKDAY($R80-1,$O80,Parámetros!$G$6:$G$25))</f>
        <v/>
      </c>
      <c r="T80" s="12"/>
      <c r="U80" s="11"/>
      <c r="V80" s="22"/>
      <c r="W80" s="21"/>
      <c r="X80" s="21"/>
      <c r="Y80" s="21"/>
    </row>
    <row r="81" customFormat="false" ht="15" hidden="false" customHeight="false" outlineLevel="0" collapsed="false">
      <c r="A81" s="13"/>
      <c r="B81" s="21"/>
      <c r="C81" s="22"/>
      <c r="D81" s="13"/>
      <c r="E81" s="22"/>
      <c r="F81" s="22"/>
      <c r="G81" s="22"/>
      <c r="H81" s="22"/>
      <c r="I81" s="23" t="str">
        <f aca="false">IF(OR($A81="",$L81="Cerrado",COUNT($E81:$H81)&lt;4),"",$E81+$F81+$G81-$H81)</f>
        <v/>
      </c>
      <c r="J81" s="23" t="str">
        <f aca="false">IF($I81="","",RANK($I81,$I$5:$I$104)+COUNTIF($I$4:$I80,$I81))</f>
        <v/>
      </c>
      <c r="K81" s="22"/>
      <c r="L81" s="13"/>
      <c r="M81" s="22"/>
      <c r="N81" s="24" t="str">
        <f aca="false">IF(OR($A81="",$K81=""),"",INDEX(Parámetros!$B$32:$D$32,MATCH($K81,Parámetros!$B$22:$D$22,0)))</f>
        <v/>
      </c>
      <c r="O81" s="23" t="str">
        <f aca="false">IF($N81="","",ROUNDUP($N81/Parámetros!$B$19*(1+Parámetros!$B$17),0))</f>
        <v/>
      </c>
      <c r="P81" s="23" t="str">
        <f aca="false">IF($J81="","",MOD($J81-1,Parámetros!$B$16)+1)</f>
        <v/>
      </c>
      <c r="Q81" s="12"/>
      <c r="R81" s="25" t="str">
        <f aca="false">IF(OR($J81="",$O81=""),"",IF($Q81&lt;&gt;"",$Q81,WORKDAY(Parámetros!$B$13-1,SUMIFS($O$5:$O$104,$P$5:$P$104,$P81,$J$5:$J$104,"&lt;"&amp;$J81)+1,Parámetros!$G$6:$G$25)))</f>
        <v/>
      </c>
      <c r="S81" s="25" t="str">
        <f aca="false">IF($R81="","",WORKDAY($R81-1,$O81,Parámetros!$G$6:$G$25))</f>
        <v/>
      </c>
      <c r="T81" s="12"/>
      <c r="U81" s="11"/>
      <c r="V81" s="22"/>
      <c r="W81" s="21"/>
      <c r="X81" s="21"/>
      <c r="Y81" s="21"/>
    </row>
    <row r="82" customFormat="false" ht="15" hidden="false" customHeight="false" outlineLevel="0" collapsed="false">
      <c r="A82" s="13"/>
      <c r="B82" s="21"/>
      <c r="C82" s="22"/>
      <c r="D82" s="13"/>
      <c r="E82" s="22"/>
      <c r="F82" s="22"/>
      <c r="G82" s="22"/>
      <c r="H82" s="22"/>
      <c r="I82" s="23" t="str">
        <f aca="false">IF(OR($A82="",$L82="Cerrado",COUNT($E82:$H82)&lt;4),"",$E82+$F82+$G82-$H82)</f>
        <v/>
      </c>
      <c r="J82" s="23" t="str">
        <f aca="false">IF($I82="","",RANK($I82,$I$5:$I$104)+COUNTIF($I$4:$I81,$I82))</f>
        <v/>
      </c>
      <c r="K82" s="22"/>
      <c r="L82" s="13"/>
      <c r="M82" s="22"/>
      <c r="N82" s="24" t="str">
        <f aca="false">IF(OR($A82="",$K82=""),"",INDEX(Parámetros!$B$32:$D$32,MATCH($K82,Parámetros!$B$22:$D$22,0)))</f>
        <v/>
      </c>
      <c r="O82" s="23" t="str">
        <f aca="false">IF($N82="","",ROUNDUP($N82/Parámetros!$B$19*(1+Parámetros!$B$17),0))</f>
        <v/>
      </c>
      <c r="P82" s="23" t="str">
        <f aca="false">IF($J82="","",MOD($J82-1,Parámetros!$B$16)+1)</f>
        <v/>
      </c>
      <c r="Q82" s="12"/>
      <c r="R82" s="25" t="str">
        <f aca="false">IF(OR($J82="",$O82=""),"",IF($Q82&lt;&gt;"",$Q82,WORKDAY(Parámetros!$B$13-1,SUMIFS($O$5:$O$104,$P$5:$P$104,$P82,$J$5:$J$104,"&lt;"&amp;$J82)+1,Parámetros!$G$6:$G$25)))</f>
        <v/>
      </c>
      <c r="S82" s="25" t="str">
        <f aca="false">IF($R82="","",WORKDAY($R82-1,$O82,Parámetros!$G$6:$G$25))</f>
        <v/>
      </c>
      <c r="T82" s="12"/>
      <c r="U82" s="11"/>
      <c r="V82" s="22"/>
      <c r="W82" s="21"/>
      <c r="X82" s="21"/>
      <c r="Y82" s="21"/>
    </row>
    <row r="83" customFormat="false" ht="15" hidden="false" customHeight="false" outlineLevel="0" collapsed="false">
      <c r="A83" s="13"/>
      <c r="B83" s="21"/>
      <c r="C83" s="22"/>
      <c r="D83" s="13"/>
      <c r="E83" s="22"/>
      <c r="F83" s="22"/>
      <c r="G83" s="22"/>
      <c r="H83" s="22"/>
      <c r="I83" s="23" t="str">
        <f aca="false">IF(OR($A83="",$L83="Cerrado",COUNT($E83:$H83)&lt;4),"",$E83+$F83+$G83-$H83)</f>
        <v/>
      </c>
      <c r="J83" s="23" t="str">
        <f aca="false">IF($I83="","",RANK($I83,$I$5:$I$104)+COUNTIF($I$4:$I82,$I83))</f>
        <v/>
      </c>
      <c r="K83" s="22"/>
      <c r="L83" s="13"/>
      <c r="M83" s="22"/>
      <c r="N83" s="24" t="str">
        <f aca="false">IF(OR($A83="",$K83=""),"",INDEX(Parámetros!$B$32:$D$32,MATCH($K83,Parámetros!$B$22:$D$22,0)))</f>
        <v/>
      </c>
      <c r="O83" s="23" t="str">
        <f aca="false">IF($N83="","",ROUNDUP($N83/Parámetros!$B$19*(1+Parámetros!$B$17),0))</f>
        <v/>
      </c>
      <c r="P83" s="23" t="str">
        <f aca="false">IF($J83="","",MOD($J83-1,Parámetros!$B$16)+1)</f>
        <v/>
      </c>
      <c r="Q83" s="12"/>
      <c r="R83" s="25" t="str">
        <f aca="false">IF(OR($J83="",$O83=""),"",IF($Q83&lt;&gt;"",$Q83,WORKDAY(Parámetros!$B$13-1,SUMIFS($O$5:$O$104,$P$5:$P$104,$P83,$J$5:$J$104,"&lt;"&amp;$J83)+1,Parámetros!$G$6:$G$25)))</f>
        <v/>
      </c>
      <c r="S83" s="25" t="str">
        <f aca="false">IF($R83="","",WORKDAY($R83-1,$O83,Parámetros!$G$6:$G$25))</f>
        <v/>
      </c>
      <c r="T83" s="12"/>
      <c r="U83" s="11"/>
      <c r="V83" s="22"/>
      <c r="W83" s="21"/>
      <c r="X83" s="21"/>
      <c r="Y83" s="21"/>
    </row>
    <row r="84" customFormat="false" ht="15" hidden="false" customHeight="false" outlineLevel="0" collapsed="false">
      <c r="A84" s="13"/>
      <c r="B84" s="21"/>
      <c r="C84" s="22"/>
      <c r="D84" s="13"/>
      <c r="E84" s="22"/>
      <c r="F84" s="22"/>
      <c r="G84" s="22"/>
      <c r="H84" s="22"/>
      <c r="I84" s="23" t="str">
        <f aca="false">IF(OR($A84="",$L84="Cerrado",COUNT($E84:$H84)&lt;4),"",$E84+$F84+$G84-$H84)</f>
        <v/>
      </c>
      <c r="J84" s="23" t="str">
        <f aca="false">IF($I84="","",RANK($I84,$I$5:$I$104)+COUNTIF($I$4:$I83,$I84))</f>
        <v/>
      </c>
      <c r="K84" s="22"/>
      <c r="L84" s="13"/>
      <c r="M84" s="22"/>
      <c r="N84" s="24" t="str">
        <f aca="false">IF(OR($A84="",$K84=""),"",INDEX(Parámetros!$B$32:$D$32,MATCH($K84,Parámetros!$B$22:$D$22,0)))</f>
        <v/>
      </c>
      <c r="O84" s="23" t="str">
        <f aca="false">IF($N84="","",ROUNDUP($N84/Parámetros!$B$19*(1+Parámetros!$B$17),0))</f>
        <v/>
      </c>
      <c r="P84" s="23" t="str">
        <f aca="false">IF($J84="","",MOD($J84-1,Parámetros!$B$16)+1)</f>
        <v/>
      </c>
      <c r="Q84" s="12"/>
      <c r="R84" s="25" t="str">
        <f aca="false">IF(OR($J84="",$O84=""),"",IF($Q84&lt;&gt;"",$Q84,WORKDAY(Parámetros!$B$13-1,SUMIFS($O$5:$O$104,$P$5:$P$104,$P84,$J$5:$J$104,"&lt;"&amp;$J84)+1,Parámetros!$G$6:$G$25)))</f>
        <v/>
      </c>
      <c r="S84" s="25" t="str">
        <f aca="false">IF($R84="","",WORKDAY($R84-1,$O84,Parámetros!$G$6:$G$25))</f>
        <v/>
      </c>
      <c r="T84" s="12"/>
      <c r="U84" s="11"/>
      <c r="V84" s="22"/>
      <c r="W84" s="21"/>
      <c r="X84" s="21"/>
      <c r="Y84" s="21"/>
    </row>
    <row r="85" customFormat="false" ht="15" hidden="false" customHeight="false" outlineLevel="0" collapsed="false">
      <c r="A85" s="13"/>
      <c r="B85" s="21"/>
      <c r="C85" s="22"/>
      <c r="D85" s="13"/>
      <c r="E85" s="22"/>
      <c r="F85" s="22"/>
      <c r="G85" s="22"/>
      <c r="H85" s="22"/>
      <c r="I85" s="23" t="str">
        <f aca="false">IF(OR($A85="",$L85="Cerrado",COUNT($E85:$H85)&lt;4),"",$E85+$F85+$G85-$H85)</f>
        <v/>
      </c>
      <c r="J85" s="23" t="str">
        <f aca="false">IF($I85="","",RANK($I85,$I$5:$I$104)+COUNTIF($I$4:$I84,$I85))</f>
        <v/>
      </c>
      <c r="K85" s="22"/>
      <c r="L85" s="13"/>
      <c r="M85" s="22"/>
      <c r="N85" s="24" t="str">
        <f aca="false">IF(OR($A85="",$K85=""),"",INDEX(Parámetros!$B$32:$D$32,MATCH($K85,Parámetros!$B$22:$D$22,0)))</f>
        <v/>
      </c>
      <c r="O85" s="23" t="str">
        <f aca="false">IF($N85="","",ROUNDUP($N85/Parámetros!$B$19*(1+Parámetros!$B$17),0))</f>
        <v/>
      </c>
      <c r="P85" s="23" t="str">
        <f aca="false">IF($J85="","",MOD($J85-1,Parámetros!$B$16)+1)</f>
        <v/>
      </c>
      <c r="Q85" s="12"/>
      <c r="R85" s="25" t="str">
        <f aca="false">IF(OR($J85="",$O85=""),"",IF($Q85&lt;&gt;"",$Q85,WORKDAY(Parámetros!$B$13-1,SUMIFS($O$5:$O$104,$P$5:$P$104,$P85,$J$5:$J$104,"&lt;"&amp;$J85)+1,Parámetros!$G$6:$G$25)))</f>
        <v/>
      </c>
      <c r="S85" s="25" t="str">
        <f aca="false">IF($R85="","",WORKDAY($R85-1,$O85,Parámetros!$G$6:$G$25))</f>
        <v/>
      </c>
      <c r="T85" s="12"/>
      <c r="U85" s="11"/>
      <c r="V85" s="22"/>
      <c r="W85" s="21"/>
      <c r="X85" s="21"/>
      <c r="Y85" s="21"/>
    </row>
    <row r="86" customFormat="false" ht="15" hidden="false" customHeight="false" outlineLevel="0" collapsed="false">
      <c r="A86" s="13"/>
      <c r="B86" s="21"/>
      <c r="C86" s="22"/>
      <c r="D86" s="13"/>
      <c r="E86" s="22"/>
      <c r="F86" s="22"/>
      <c r="G86" s="22"/>
      <c r="H86" s="22"/>
      <c r="I86" s="23" t="str">
        <f aca="false">IF(OR($A86="",$L86="Cerrado",COUNT($E86:$H86)&lt;4),"",$E86+$F86+$G86-$H86)</f>
        <v/>
      </c>
      <c r="J86" s="23" t="str">
        <f aca="false">IF($I86="","",RANK($I86,$I$5:$I$104)+COUNTIF($I$4:$I85,$I86))</f>
        <v/>
      </c>
      <c r="K86" s="22"/>
      <c r="L86" s="13"/>
      <c r="M86" s="22"/>
      <c r="N86" s="24" t="str">
        <f aca="false">IF(OR($A86="",$K86=""),"",INDEX(Parámetros!$B$32:$D$32,MATCH($K86,Parámetros!$B$22:$D$22,0)))</f>
        <v/>
      </c>
      <c r="O86" s="23" t="str">
        <f aca="false">IF($N86="","",ROUNDUP($N86/Parámetros!$B$19*(1+Parámetros!$B$17),0))</f>
        <v/>
      </c>
      <c r="P86" s="23" t="str">
        <f aca="false">IF($J86="","",MOD($J86-1,Parámetros!$B$16)+1)</f>
        <v/>
      </c>
      <c r="Q86" s="12"/>
      <c r="R86" s="25" t="str">
        <f aca="false">IF(OR($J86="",$O86=""),"",IF($Q86&lt;&gt;"",$Q86,WORKDAY(Parámetros!$B$13-1,SUMIFS($O$5:$O$104,$P$5:$P$104,$P86,$J$5:$J$104,"&lt;"&amp;$J86)+1,Parámetros!$G$6:$G$25)))</f>
        <v/>
      </c>
      <c r="S86" s="25" t="str">
        <f aca="false">IF($R86="","",WORKDAY($R86-1,$O86,Parámetros!$G$6:$G$25))</f>
        <v/>
      </c>
      <c r="T86" s="12"/>
      <c r="U86" s="11"/>
      <c r="V86" s="22"/>
      <c r="W86" s="21"/>
      <c r="X86" s="21"/>
      <c r="Y86" s="21"/>
    </row>
    <row r="87" customFormat="false" ht="15" hidden="false" customHeight="false" outlineLevel="0" collapsed="false">
      <c r="A87" s="13"/>
      <c r="B87" s="21"/>
      <c r="C87" s="22"/>
      <c r="D87" s="13"/>
      <c r="E87" s="22"/>
      <c r="F87" s="22"/>
      <c r="G87" s="22"/>
      <c r="H87" s="22"/>
      <c r="I87" s="23" t="str">
        <f aca="false">IF(OR($A87="",$L87="Cerrado",COUNT($E87:$H87)&lt;4),"",$E87+$F87+$G87-$H87)</f>
        <v/>
      </c>
      <c r="J87" s="23" t="str">
        <f aca="false">IF($I87="","",RANK($I87,$I$5:$I$104)+COUNTIF($I$4:$I86,$I87))</f>
        <v/>
      </c>
      <c r="K87" s="22"/>
      <c r="L87" s="13"/>
      <c r="M87" s="22"/>
      <c r="N87" s="24" t="str">
        <f aca="false">IF(OR($A87="",$K87=""),"",INDEX(Parámetros!$B$32:$D$32,MATCH($K87,Parámetros!$B$22:$D$22,0)))</f>
        <v/>
      </c>
      <c r="O87" s="23" t="str">
        <f aca="false">IF($N87="","",ROUNDUP($N87/Parámetros!$B$19*(1+Parámetros!$B$17),0))</f>
        <v/>
      </c>
      <c r="P87" s="23" t="str">
        <f aca="false">IF($J87="","",MOD($J87-1,Parámetros!$B$16)+1)</f>
        <v/>
      </c>
      <c r="Q87" s="12"/>
      <c r="R87" s="25" t="str">
        <f aca="false">IF(OR($J87="",$O87=""),"",IF($Q87&lt;&gt;"",$Q87,WORKDAY(Parámetros!$B$13-1,SUMIFS($O$5:$O$104,$P$5:$P$104,$P87,$J$5:$J$104,"&lt;"&amp;$J87)+1,Parámetros!$G$6:$G$25)))</f>
        <v/>
      </c>
      <c r="S87" s="25" t="str">
        <f aca="false">IF($R87="","",WORKDAY($R87-1,$O87,Parámetros!$G$6:$G$25))</f>
        <v/>
      </c>
      <c r="T87" s="12"/>
      <c r="U87" s="11"/>
      <c r="V87" s="22"/>
      <c r="W87" s="21"/>
      <c r="X87" s="21"/>
      <c r="Y87" s="21"/>
    </row>
    <row r="88" customFormat="false" ht="15" hidden="false" customHeight="false" outlineLevel="0" collapsed="false">
      <c r="A88" s="13"/>
      <c r="B88" s="21"/>
      <c r="C88" s="22"/>
      <c r="D88" s="13"/>
      <c r="E88" s="22"/>
      <c r="F88" s="22"/>
      <c r="G88" s="22"/>
      <c r="H88" s="22"/>
      <c r="I88" s="23" t="str">
        <f aca="false">IF(OR($A88="",$L88="Cerrado",COUNT($E88:$H88)&lt;4),"",$E88+$F88+$G88-$H88)</f>
        <v/>
      </c>
      <c r="J88" s="23" t="str">
        <f aca="false">IF($I88="","",RANK($I88,$I$5:$I$104)+COUNTIF($I$4:$I87,$I88))</f>
        <v/>
      </c>
      <c r="K88" s="22"/>
      <c r="L88" s="13"/>
      <c r="M88" s="22"/>
      <c r="N88" s="24" t="str">
        <f aca="false">IF(OR($A88="",$K88=""),"",INDEX(Parámetros!$B$32:$D$32,MATCH($K88,Parámetros!$B$22:$D$22,0)))</f>
        <v/>
      </c>
      <c r="O88" s="23" t="str">
        <f aca="false">IF($N88="","",ROUNDUP($N88/Parámetros!$B$19*(1+Parámetros!$B$17),0))</f>
        <v/>
      </c>
      <c r="P88" s="23" t="str">
        <f aca="false">IF($J88="","",MOD($J88-1,Parámetros!$B$16)+1)</f>
        <v/>
      </c>
      <c r="Q88" s="12"/>
      <c r="R88" s="25" t="str">
        <f aca="false">IF(OR($J88="",$O88=""),"",IF($Q88&lt;&gt;"",$Q88,WORKDAY(Parámetros!$B$13-1,SUMIFS($O$5:$O$104,$P$5:$P$104,$P88,$J$5:$J$104,"&lt;"&amp;$J88)+1,Parámetros!$G$6:$G$25)))</f>
        <v/>
      </c>
      <c r="S88" s="25" t="str">
        <f aca="false">IF($R88="","",WORKDAY($R88-1,$O88,Parámetros!$G$6:$G$25))</f>
        <v/>
      </c>
      <c r="T88" s="12"/>
      <c r="U88" s="11"/>
      <c r="V88" s="22"/>
      <c r="W88" s="21"/>
      <c r="X88" s="21"/>
      <c r="Y88" s="21"/>
    </row>
    <row r="89" customFormat="false" ht="15" hidden="false" customHeight="false" outlineLevel="0" collapsed="false">
      <c r="A89" s="13"/>
      <c r="B89" s="21"/>
      <c r="C89" s="22"/>
      <c r="D89" s="13"/>
      <c r="E89" s="22"/>
      <c r="F89" s="22"/>
      <c r="G89" s="22"/>
      <c r="H89" s="22"/>
      <c r="I89" s="23" t="str">
        <f aca="false">IF(OR($A89="",$L89="Cerrado",COUNT($E89:$H89)&lt;4),"",$E89+$F89+$G89-$H89)</f>
        <v/>
      </c>
      <c r="J89" s="23" t="str">
        <f aca="false">IF($I89="","",RANK($I89,$I$5:$I$104)+COUNTIF($I$4:$I88,$I89))</f>
        <v/>
      </c>
      <c r="K89" s="22"/>
      <c r="L89" s="13"/>
      <c r="M89" s="22"/>
      <c r="N89" s="24" t="str">
        <f aca="false">IF(OR($A89="",$K89=""),"",INDEX(Parámetros!$B$32:$D$32,MATCH($K89,Parámetros!$B$22:$D$22,0)))</f>
        <v/>
      </c>
      <c r="O89" s="23" t="str">
        <f aca="false">IF($N89="","",ROUNDUP($N89/Parámetros!$B$19*(1+Parámetros!$B$17),0))</f>
        <v/>
      </c>
      <c r="P89" s="23" t="str">
        <f aca="false">IF($J89="","",MOD($J89-1,Parámetros!$B$16)+1)</f>
        <v/>
      </c>
      <c r="Q89" s="12"/>
      <c r="R89" s="25" t="str">
        <f aca="false">IF(OR($J89="",$O89=""),"",IF($Q89&lt;&gt;"",$Q89,WORKDAY(Parámetros!$B$13-1,SUMIFS($O$5:$O$104,$P$5:$P$104,$P89,$J$5:$J$104,"&lt;"&amp;$J89)+1,Parámetros!$G$6:$G$25)))</f>
        <v/>
      </c>
      <c r="S89" s="25" t="str">
        <f aca="false">IF($R89="","",WORKDAY($R89-1,$O89,Parámetros!$G$6:$G$25))</f>
        <v/>
      </c>
      <c r="T89" s="12"/>
      <c r="U89" s="11"/>
      <c r="V89" s="22"/>
      <c r="W89" s="21"/>
      <c r="X89" s="21"/>
      <c r="Y89" s="21"/>
    </row>
    <row r="90" customFormat="false" ht="15" hidden="false" customHeight="false" outlineLevel="0" collapsed="false">
      <c r="A90" s="13"/>
      <c r="B90" s="21"/>
      <c r="C90" s="22"/>
      <c r="D90" s="13"/>
      <c r="E90" s="22"/>
      <c r="F90" s="22"/>
      <c r="G90" s="22"/>
      <c r="H90" s="22"/>
      <c r="I90" s="23" t="str">
        <f aca="false">IF(OR($A90="",$L90="Cerrado",COUNT($E90:$H90)&lt;4),"",$E90+$F90+$G90-$H90)</f>
        <v/>
      </c>
      <c r="J90" s="23" t="str">
        <f aca="false">IF($I90="","",RANK($I90,$I$5:$I$104)+COUNTIF($I$4:$I89,$I90))</f>
        <v/>
      </c>
      <c r="K90" s="22"/>
      <c r="L90" s="13"/>
      <c r="M90" s="22"/>
      <c r="N90" s="24" t="str">
        <f aca="false">IF(OR($A90="",$K90=""),"",INDEX(Parámetros!$B$32:$D$32,MATCH($K90,Parámetros!$B$22:$D$22,0)))</f>
        <v/>
      </c>
      <c r="O90" s="23" t="str">
        <f aca="false">IF($N90="","",ROUNDUP($N90/Parámetros!$B$19*(1+Parámetros!$B$17),0))</f>
        <v/>
      </c>
      <c r="P90" s="23" t="str">
        <f aca="false">IF($J90="","",MOD($J90-1,Parámetros!$B$16)+1)</f>
        <v/>
      </c>
      <c r="Q90" s="12"/>
      <c r="R90" s="25" t="str">
        <f aca="false">IF(OR($J90="",$O90=""),"",IF($Q90&lt;&gt;"",$Q90,WORKDAY(Parámetros!$B$13-1,SUMIFS($O$5:$O$104,$P$5:$P$104,$P90,$J$5:$J$104,"&lt;"&amp;$J90)+1,Parámetros!$G$6:$G$25)))</f>
        <v/>
      </c>
      <c r="S90" s="25" t="str">
        <f aca="false">IF($R90="","",WORKDAY($R90-1,$O90,Parámetros!$G$6:$G$25))</f>
        <v/>
      </c>
      <c r="T90" s="12"/>
      <c r="U90" s="11"/>
      <c r="V90" s="22"/>
      <c r="W90" s="21"/>
      <c r="X90" s="21"/>
      <c r="Y90" s="21"/>
    </row>
    <row r="91" customFormat="false" ht="15" hidden="false" customHeight="false" outlineLevel="0" collapsed="false">
      <c r="A91" s="13"/>
      <c r="B91" s="21"/>
      <c r="C91" s="22"/>
      <c r="D91" s="13"/>
      <c r="E91" s="22"/>
      <c r="F91" s="22"/>
      <c r="G91" s="22"/>
      <c r="H91" s="22"/>
      <c r="I91" s="23" t="str">
        <f aca="false">IF(OR($A91="",$L91="Cerrado",COUNT($E91:$H91)&lt;4),"",$E91+$F91+$G91-$H91)</f>
        <v/>
      </c>
      <c r="J91" s="23" t="str">
        <f aca="false">IF($I91="","",RANK($I91,$I$5:$I$104)+COUNTIF($I$4:$I90,$I91))</f>
        <v/>
      </c>
      <c r="K91" s="22"/>
      <c r="L91" s="13"/>
      <c r="M91" s="22"/>
      <c r="N91" s="24" t="str">
        <f aca="false">IF(OR($A91="",$K91=""),"",INDEX(Parámetros!$B$32:$D$32,MATCH($K91,Parámetros!$B$22:$D$22,0)))</f>
        <v/>
      </c>
      <c r="O91" s="23" t="str">
        <f aca="false">IF($N91="","",ROUNDUP($N91/Parámetros!$B$19*(1+Parámetros!$B$17),0))</f>
        <v/>
      </c>
      <c r="P91" s="23" t="str">
        <f aca="false">IF($J91="","",MOD($J91-1,Parámetros!$B$16)+1)</f>
        <v/>
      </c>
      <c r="Q91" s="12"/>
      <c r="R91" s="25" t="str">
        <f aca="false">IF(OR($J91="",$O91=""),"",IF($Q91&lt;&gt;"",$Q91,WORKDAY(Parámetros!$B$13-1,SUMIFS($O$5:$O$104,$P$5:$P$104,$P91,$J$5:$J$104,"&lt;"&amp;$J91)+1,Parámetros!$G$6:$G$25)))</f>
        <v/>
      </c>
      <c r="S91" s="25" t="str">
        <f aca="false">IF($R91="","",WORKDAY($R91-1,$O91,Parámetros!$G$6:$G$25))</f>
        <v/>
      </c>
      <c r="T91" s="12"/>
      <c r="U91" s="11"/>
      <c r="V91" s="22"/>
      <c r="W91" s="21"/>
      <c r="X91" s="21"/>
      <c r="Y91" s="21"/>
    </row>
    <row r="92" customFormat="false" ht="15" hidden="false" customHeight="false" outlineLevel="0" collapsed="false">
      <c r="A92" s="13"/>
      <c r="B92" s="21"/>
      <c r="C92" s="22"/>
      <c r="D92" s="13"/>
      <c r="E92" s="22"/>
      <c r="F92" s="22"/>
      <c r="G92" s="22"/>
      <c r="H92" s="22"/>
      <c r="I92" s="23" t="str">
        <f aca="false">IF(OR($A92="",$L92="Cerrado",COUNT($E92:$H92)&lt;4),"",$E92+$F92+$G92-$H92)</f>
        <v/>
      </c>
      <c r="J92" s="23" t="str">
        <f aca="false">IF($I92="","",RANK($I92,$I$5:$I$104)+COUNTIF($I$4:$I91,$I92))</f>
        <v/>
      </c>
      <c r="K92" s="22"/>
      <c r="L92" s="13"/>
      <c r="M92" s="22"/>
      <c r="N92" s="24" t="str">
        <f aca="false">IF(OR($A92="",$K92=""),"",INDEX(Parámetros!$B$32:$D$32,MATCH($K92,Parámetros!$B$22:$D$22,0)))</f>
        <v/>
      </c>
      <c r="O92" s="23" t="str">
        <f aca="false">IF($N92="","",ROUNDUP($N92/Parámetros!$B$19*(1+Parámetros!$B$17),0))</f>
        <v/>
      </c>
      <c r="P92" s="23" t="str">
        <f aca="false">IF($J92="","",MOD($J92-1,Parámetros!$B$16)+1)</f>
        <v/>
      </c>
      <c r="Q92" s="12"/>
      <c r="R92" s="25" t="str">
        <f aca="false">IF(OR($J92="",$O92=""),"",IF($Q92&lt;&gt;"",$Q92,WORKDAY(Parámetros!$B$13-1,SUMIFS($O$5:$O$104,$P$5:$P$104,$P92,$J$5:$J$104,"&lt;"&amp;$J92)+1,Parámetros!$G$6:$G$25)))</f>
        <v/>
      </c>
      <c r="S92" s="25" t="str">
        <f aca="false">IF($R92="","",WORKDAY($R92-1,$O92,Parámetros!$G$6:$G$25))</f>
        <v/>
      </c>
      <c r="T92" s="12"/>
      <c r="U92" s="11"/>
      <c r="V92" s="22"/>
      <c r="W92" s="21"/>
      <c r="X92" s="21"/>
      <c r="Y92" s="21"/>
    </row>
    <row r="93" customFormat="false" ht="15" hidden="false" customHeight="false" outlineLevel="0" collapsed="false">
      <c r="A93" s="13"/>
      <c r="B93" s="21"/>
      <c r="C93" s="22"/>
      <c r="D93" s="13"/>
      <c r="E93" s="22"/>
      <c r="F93" s="22"/>
      <c r="G93" s="22"/>
      <c r="H93" s="22"/>
      <c r="I93" s="23" t="str">
        <f aca="false">IF(OR($A93="",$L93="Cerrado",COUNT($E93:$H93)&lt;4),"",$E93+$F93+$G93-$H93)</f>
        <v/>
      </c>
      <c r="J93" s="23" t="str">
        <f aca="false">IF($I93="","",RANK($I93,$I$5:$I$104)+COUNTIF($I$4:$I92,$I93))</f>
        <v/>
      </c>
      <c r="K93" s="22"/>
      <c r="L93" s="13"/>
      <c r="M93" s="22"/>
      <c r="N93" s="24" t="str">
        <f aca="false">IF(OR($A93="",$K93=""),"",INDEX(Parámetros!$B$32:$D$32,MATCH($K93,Parámetros!$B$22:$D$22,0)))</f>
        <v/>
      </c>
      <c r="O93" s="23" t="str">
        <f aca="false">IF($N93="","",ROUNDUP($N93/Parámetros!$B$19*(1+Parámetros!$B$17),0))</f>
        <v/>
      </c>
      <c r="P93" s="23" t="str">
        <f aca="false">IF($J93="","",MOD($J93-1,Parámetros!$B$16)+1)</f>
        <v/>
      </c>
      <c r="Q93" s="12"/>
      <c r="R93" s="25" t="str">
        <f aca="false">IF(OR($J93="",$O93=""),"",IF($Q93&lt;&gt;"",$Q93,WORKDAY(Parámetros!$B$13-1,SUMIFS($O$5:$O$104,$P$5:$P$104,$P93,$J$5:$J$104,"&lt;"&amp;$J93)+1,Parámetros!$G$6:$G$25)))</f>
        <v/>
      </c>
      <c r="S93" s="25" t="str">
        <f aca="false">IF($R93="","",WORKDAY($R93-1,$O93,Parámetros!$G$6:$G$25))</f>
        <v/>
      </c>
      <c r="T93" s="12"/>
      <c r="U93" s="11"/>
      <c r="V93" s="22"/>
      <c r="W93" s="21"/>
      <c r="X93" s="21"/>
      <c r="Y93" s="21"/>
    </row>
    <row r="94" customFormat="false" ht="15" hidden="false" customHeight="false" outlineLevel="0" collapsed="false">
      <c r="A94" s="13"/>
      <c r="B94" s="21"/>
      <c r="C94" s="22"/>
      <c r="D94" s="13"/>
      <c r="E94" s="22"/>
      <c r="F94" s="22"/>
      <c r="G94" s="22"/>
      <c r="H94" s="22"/>
      <c r="I94" s="23" t="str">
        <f aca="false">IF(OR($A94="",$L94="Cerrado",COUNT($E94:$H94)&lt;4),"",$E94+$F94+$G94-$H94)</f>
        <v/>
      </c>
      <c r="J94" s="23" t="str">
        <f aca="false">IF($I94="","",RANK($I94,$I$5:$I$104)+COUNTIF($I$4:$I93,$I94))</f>
        <v/>
      </c>
      <c r="K94" s="22"/>
      <c r="L94" s="13"/>
      <c r="M94" s="22"/>
      <c r="N94" s="24" t="str">
        <f aca="false">IF(OR($A94="",$K94=""),"",INDEX(Parámetros!$B$32:$D$32,MATCH($K94,Parámetros!$B$22:$D$22,0)))</f>
        <v/>
      </c>
      <c r="O94" s="23" t="str">
        <f aca="false">IF($N94="","",ROUNDUP($N94/Parámetros!$B$19*(1+Parámetros!$B$17),0))</f>
        <v/>
      </c>
      <c r="P94" s="23" t="str">
        <f aca="false">IF($J94="","",MOD($J94-1,Parámetros!$B$16)+1)</f>
        <v/>
      </c>
      <c r="Q94" s="12"/>
      <c r="R94" s="25" t="str">
        <f aca="false">IF(OR($J94="",$O94=""),"",IF($Q94&lt;&gt;"",$Q94,WORKDAY(Parámetros!$B$13-1,SUMIFS($O$5:$O$104,$P$5:$P$104,$P94,$J$5:$J$104,"&lt;"&amp;$J94)+1,Parámetros!$G$6:$G$25)))</f>
        <v/>
      </c>
      <c r="S94" s="25" t="str">
        <f aca="false">IF($R94="","",WORKDAY($R94-1,$O94,Parámetros!$G$6:$G$25))</f>
        <v/>
      </c>
      <c r="T94" s="12"/>
      <c r="U94" s="11"/>
      <c r="V94" s="22"/>
      <c r="W94" s="21"/>
      <c r="X94" s="21"/>
      <c r="Y94" s="21"/>
    </row>
    <row r="95" customFormat="false" ht="15" hidden="false" customHeight="false" outlineLevel="0" collapsed="false">
      <c r="A95" s="13"/>
      <c r="B95" s="21"/>
      <c r="C95" s="22"/>
      <c r="D95" s="13"/>
      <c r="E95" s="22"/>
      <c r="F95" s="22"/>
      <c r="G95" s="22"/>
      <c r="H95" s="22"/>
      <c r="I95" s="23" t="str">
        <f aca="false">IF(OR($A95="",$L95="Cerrado",COUNT($E95:$H95)&lt;4),"",$E95+$F95+$G95-$H95)</f>
        <v/>
      </c>
      <c r="J95" s="23" t="str">
        <f aca="false">IF($I95="","",RANK($I95,$I$5:$I$104)+COUNTIF($I$4:$I94,$I95))</f>
        <v/>
      </c>
      <c r="K95" s="22"/>
      <c r="L95" s="13"/>
      <c r="M95" s="22"/>
      <c r="N95" s="24" t="str">
        <f aca="false">IF(OR($A95="",$K95=""),"",INDEX(Parámetros!$B$32:$D$32,MATCH($K95,Parámetros!$B$22:$D$22,0)))</f>
        <v/>
      </c>
      <c r="O95" s="23" t="str">
        <f aca="false">IF($N95="","",ROUNDUP($N95/Parámetros!$B$19*(1+Parámetros!$B$17),0))</f>
        <v/>
      </c>
      <c r="P95" s="23" t="str">
        <f aca="false">IF($J95="","",MOD($J95-1,Parámetros!$B$16)+1)</f>
        <v/>
      </c>
      <c r="Q95" s="12"/>
      <c r="R95" s="25" t="str">
        <f aca="false">IF(OR($J95="",$O95=""),"",IF($Q95&lt;&gt;"",$Q95,WORKDAY(Parámetros!$B$13-1,SUMIFS($O$5:$O$104,$P$5:$P$104,$P95,$J$5:$J$104,"&lt;"&amp;$J95)+1,Parámetros!$G$6:$G$25)))</f>
        <v/>
      </c>
      <c r="S95" s="25" t="str">
        <f aca="false">IF($R95="","",WORKDAY($R95-1,$O95,Parámetros!$G$6:$G$25))</f>
        <v/>
      </c>
      <c r="T95" s="12"/>
      <c r="U95" s="11"/>
      <c r="V95" s="22"/>
      <c r="W95" s="21"/>
      <c r="X95" s="21"/>
      <c r="Y95" s="21"/>
    </row>
    <row r="96" customFormat="false" ht="15" hidden="false" customHeight="false" outlineLevel="0" collapsed="false">
      <c r="A96" s="13"/>
      <c r="B96" s="21"/>
      <c r="C96" s="22"/>
      <c r="D96" s="13"/>
      <c r="E96" s="22"/>
      <c r="F96" s="22"/>
      <c r="G96" s="22"/>
      <c r="H96" s="22"/>
      <c r="I96" s="23" t="str">
        <f aca="false">IF(OR($A96="",$L96="Cerrado",COUNT($E96:$H96)&lt;4),"",$E96+$F96+$G96-$H96)</f>
        <v/>
      </c>
      <c r="J96" s="23" t="str">
        <f aca="false">IF($I96="","",RANK($I96,$I$5:$I$104)+COUNTIF($I$4:$I95,$I96))</f>
        <v/>
      </c>
      <c r="K96" s="22"/>
      <c r="L96" s="13"/>
      <c r="M96" s="22"/>
      <c r="N96" s="24" t="str">
        <f aca="false">IF(OR($A96="",$K96=""),"",INDEX(Parámetros!$B$32:$D$32,MATCH($K96,Parámetros!$B$22:$D$22,0)))</f>
        <v/>
      </c>
      <c r="O96" s="23" t="str">
        <f aca="false">IF($N96="","",ROUNDUP($N96/Parámetros!$B$19*(1+Parámetros!$B$17),0))</f>
        <v/>
      </c>
      <c r="P96" s="23" t="str">
        <f aca="false">IF($J96="","",MOD($J96-1,Parámetros!$B$16)+1)</f>
        <v/>
      </c>
      <c r="Q96" s="12"/>
      <c r="R96" s="25" t="str">
        <f aca="false">IF(OR($J96="",$O96=""),"",IF($Q96&lt;&gt;"",$Q96,WORKDAY(Parámetros!$B$13-1,SUMIFS($O$5:$O$104,$P$5:$P$104,$P96,$J$5:$J$104,"&lt;"&amp;$J96)+1,Parámetros!$G$6:$G$25)))</f>
        <v/>
      </c>
      <c r="S96" s="25" t="str">
        <f aca="false">IF($R96="","",WORKDAY($R96-1,$O96,Parámetros!$G$6:$G$25))</f>
        <v/>
      </c>
      <c r="T96" s="12"/>
      <c r="U96" s="11"/>
      <c r="V96" s="22"/>
      <c r="W96" s="21"/>
      <c r="X96" s="21"/>
      <c r="Y96" s="21"/>
    </row>
    <row r="97" customFormat="false" ht="15" hidden="false" customHeight="false" outlineLevel="0" collapsed="false">
      <c r="A97" s="13"/>
      <c r="B97" s="21"/>
      <c r="C97" s="22"/>
      <c r="D97" s="13"/>
      <c r="E97" s="22"/>
      <c r="F97" s="22"/>
      <c r="G97" s="22"/>
      <c r="H97" s="22"/>
      <c r="I97" s="23" t="str">
        <f aca="false">IF(OR($A97="",$L97="Cerrado",COUNT($E97:$H97)&lt;4),"",$E97+$F97+$G97-$H97)</f>
        <v/>
      </c>
      <c r="J97" s="23" t="str">
        <f aca="false">IF($I97="","",RANK($I97,$I$5:$I$104)+COUNTIF($I$4:$I96,$I97))</f>
        <v/>
      </c>
      <c r="K97" s="22"/>
      <c r="L97" s="13"/>
      <c r="M97" s="22"/>
      <c r="N97" s="24" t="str">
        <f aca="false">IF(OR($A97="",$K97=""),"",INDEX(Parámetros!$B$32:$D$32,MATCH($K97,Parámetros!$B$22:$D$22,0)))</f>
        <v/>
      </c>
      <c r="O97" s="23" t="str">
        <f aca="false">IF($N97="","",ROUNDUP($N97/Parámetros!$B$19*(1+Parámetros!$B$17),0))</f>
        <v/>
      </c>
      <c r="P97" s="23" t="str">
        <f aca="false">IF($J97="","",MOD($J97-1,Parámetros!$B$16)+1)</f>
        <v/>
      </c>
      <c r="Q97" s="12"/>
      <c r="R97" s="25" t="str">
        <f aca="false">IF(OR($J97="",$O97=""),"",IF($Q97&lt;&gt;"",$Q97,WORKDAY(Parámetros!$B$13-1,SUMIFS($O$5:$O$104,$P$5:$P$104,$P97,$J$5:$J$104,"&lt;"&amp;$J97)+1,Parámetros!$G$6:$G$25)))</f>
        <v/>
      </c>
      <c r="S97" s="25" t="str">
        <f aca="false">IF($R97="","",WORKDAY($R97-1,$O97,Parámetros!$G$6:$G$25))</f>
        <v/>
      </c>
      <c r="T97" s="12"/>
      <c r="U97" s="11"/>
      <c r="V97" s="22"/>
      <c r="W97" s="21"/>
      <c r="X97" s="21"/>
      <c r="Y97" s="21"/>
    </row>
    <row r="98" customFormat="false" ht="15" hidden="false" customHeight="false" outlineLevel="0" collapsed="false">
      <c r="A98" s="13"/>
      <c r="B98" s="21"/>
      <c r="C98" s="22"/>
      <c r="D98" s="13"/>
      <c r="E98" s="22"/>
      <c r="F98" s="22"/>
      <c r="G98" s="22"/>
      <c r="H98" s="22"/>
      <c r="I98" s="23" t="str">
        <f aca="false">IF(OR($A98="",$L98="Cerrado",COUNT($E98:$H98)&lt;4),"",$E98+$F98+$G98-$H98)</f>
        <v/>
      </c>
      <c r="J98" s="23" t="str">
        <f aca="false">IF($I98="","",RANK($I98,$I$5:$I$104)+COUNTIF($I$4:$I97,$I98))</f>
        <v/>
      </c>
      <c r="K98" s="22"/>
      <c r="L98" s="13"/>
      <c r="M98" s="22"/>
      <c r="N98" s="24" t="str">
        <f aca="false">IF(OR($A98="",$K98=""),"",INDEX(Parámetros!$B$32:$D$32,MATCH($K98,Parámetros!$B$22:$D$22,0)))</f>
        <v/>
      </c>
      <c r="O98" s="23" t="str">
        <f aca="false">IF($N98="","",ROUNDUP($N98/Parámetros!$B$19*(1+Parámetros!$B$17),0))</f>
        <v/>
      </c>
      <c r="P98" s="23" t="str">
        <f aca="false">IF($J98="","",MOD($J98-1,Parámetros!$B$16)+1)</f>
        <v/>
      </c>
      <c r="Q98" s="12"/>
      <c r="R98" s="25" t="str">
        <f aca="false">IF(OR($J98="",$O98=""),"",IF($Q98&lt;&gt;"",$Q98,WORKDAY(Parámetros!$B$13-1,SUMIFS($O$5:$O$104,$P$5:$P$104,$P98,$J$5:$J$104,"&lt;"&amp;$J98)+1,Parámetros!$G$6:$G$25)))</f>
        <v/>
      </c>
      <c r="S98" s="25" t="str">
        <f aca="false">IF($R98="","",WORKDAY($R98-1,$O98,Parámetros!$G$6:$G$25))</f>
        <v/>
      </c>
      <c r="T98" s="12"/>
      <c r="U98" s="11"/>
      <c r="V98" s="22"/>
      <c r="W98" s="21"/>
      <c r="X98" s="21"/>
      <c r="Y98" s="21"/>
    </row>
    <row r="99" customFormat="false" ht="15" hidden="false" customHeight="false" outlineLevel="0" collapsed="false">
      <c r="A99" s="13"/>
      <c r="B99" s="21"/>
      <c r="C99" s="22"/>
      <c r="D99" s="13"/>
      <c r="E99" s="22"/>
      <c r="F99" s="22"/>
      <c r="G99" s="22"/>
      <c r="H99" s="22"/>
      <c r="I99" s="23" t="str">
        <f aca="false">IF(OR($A99="",$L99="Cerrado",COUNT($E99:$H99)&lt;4),"",$E99+$F99+$G99-$H99)</f>
        <v/>
      </c>
      <c r="J99" s="23" t="str">
        <f aca="false">IF($I99="","",RANK($I99,$I$5:$I$104)+COUNTIF($I$4:$I98,$I99))</f>
        <v/>
      </c>
      <c r="K99" s="22"/>
      <c r="L99" s="13"/>
      <c r="M99" s="22"/>
      <c r="N99" s="24" t="str">
        <f aca="false">IF(OR($A99="",$K99=""),"",INDEX(Parámetros!$B$32:$D$32,MATCH($K99,Parámetros!$B$22:$D$22,0)))</f>
        <v/>
      </c>
      <c r="O99" s="23" t="str">
        <f aca="false">IF($N99="","",ROUNDUP($N99/Parámetros!$B$19*(1+Parámetros!$B$17),0))</f>
        <v/>
      </c>
      <c r="P99" s="23" t="str">
        <f aca="false">IF($J99="","",MOD($J99-1,Parámetros!$B$16)+1)</f>
        <v/>
      </c>
      <c r="Q99" s="12"/>
      <c r="R99" s="25" t="str">
        <f aca="false">IF(OR($J99="",$O99=""),"",IF($Q99&lt;&gt;"",$Q99,WORKDAY(Parámetros!$B$13-1,SUMIFS($O$5:$O$104,$P$5:$P$104,$P99,$J$5:$J$104,"&lt;"&amp;$J99)+1,Parámetros!$G$6:$G$25)))</f>
        <v/>
      </c>
      <c r="S99" s="25" t="str">
        <f aca="false">IF($R99="","",WORKDAY($R99-1,$O99,Parámetros!$G$6:$G$25))</f>
        <v/>
      </c>
      <c r="T99" s="12"/>
      <c r="U99" s="11"/>
      <c r="V99" s="22"/>
      <c r="W99" s="21"/>
      <c r="X99" s="21"/>
      <c r="Y99" s="21"/>
    </row>
    <row r="100" customFormat="false" ht="15" hidden="false" customHeight="false" outlineLevel="0" collapsed="false">
      <c r="A100" s="13"/>
      <c r="B100" s="21"/>
      <c r="C100" s="22"/>
      <c r="D100" s="13"/>
      <c r="E100" s="22"/>
      <c r="F100" s="22"/>
      <c r="G100" s="22"/>
      <c r="H100" s="22"/>
      <c r="I100" s="23" t="str">
        <f aca="false">IF(OR($A100="",$L100="Cerrado",COUNT($E100:$H100)&lt;4),"",$E100+$F100+$G100-$H100)</f>
        <v/>
      </c>
      <c r="J100" s="23" t="str">
        <f aca="false">IF($I100="","",RANK($I100,$I$5:$I$104)+COUNTIF($I$4:$I99,$I100))</f>
        <v/>
      </c>
      <c r="K100" s="22"/>
      <c r="L100" s="13"/>
      <c r="M100" s="22"/>
      <c r="N100" s="24" t="str">
        <f aca="false">IF(OR($A100="",$K100=""),"",INDEX(Parámetros!$B$32:$D$32,MATCH($K100,Parámetros!$B$22:$D$22,0)))</f>
        <v/>
      </c>
      <c r="O100" s="23" t="str">
        <f aca="false">IF($N100="","",ROUNDUP($N100/Parámetros!$B$19*(1+Parámetros!$B$17),0))</f>
        <v/>
      </c>
      <c r="P100" s="23" t="str">
        <f aca="false">IF($J100="","",MOD($J100-1,Parámetros!$B$16)+1)</f>
        <v/>
      </c>
      <c r="Q100" s="12"/>
      <c r="R100" s="25" t="str">
        <f aca="false">IF(OR($J100="",$O100=""),"",IF($Q100&lt;&gt;"",$Q100,WORKDAY(Parámetros!$B$13-1,SUMIFS($O$5:$O$104,$P$5:$P$104,$P100,$J$5:$J$104,"&lt;"&amp;$J100)+1,Parámetros!$G$6:$G$25)))</f>
        <v/>
      </c>
      <c r="S100" s="25" t="str">
        <f aca="false">IF($R100="","",WORKDAY($R100-1,$O100,Parámetros!$G$6:$G$25))</f>
        <v/>
      </c>
      <c r="T100" s="12"/>
      <c r="U100" s="11"/>
      <c r="V100" s="22"/>
      <c r="W100" s="21"/>
      <c r="X100" s="21"/>
      <c r="Y100" s="21"/>
    </row>
    <row r="101" customFormat="false" ht="15" hidden="false" customHeight="false" outlineLevel="0" collapsed="false">
      <c r="A101" s="13"/>
      <c r="B101" s="21"/>
      <c r="C101" s="22"/>
      <c r="D101" s="13"/>
      <c r="E101" s="22"/>
      <c r="F101" s="22"/>
      <c r="G101" s="22"/>
      <c r="H101" s="22"/>
      <c r="I101" s="23" t="str">
        <f aca="false">IF(OR($A101="",$L101="Cerrado",COUNT($E101:$H101)&lt;4),"",$E101+$F101+$G101-$H101)</f>
        <v/>
      </c>
      <c r="J101" s="23" t="str">
        <f aca="false">IF($I101="","",RANK($I101,$I$5:$I$104)+COUNTIF($I$4:$I100,$I101))</f>
        <v/>
      </c>
      <c r="K101" s="22"/>
      <c r="L101" s="13"/>
      <c r="M101" s="22"/>
      <c r="N101" s="24" t="str">
        <f aca="false">IF(OR($A101="",$K101=""),"",INDEX(Parámetros!$B$32:$D$32,MATCH($K101,Parámetros!$B$22:$D$22,0)))</f>
        <v/>
      </c>
      <c r="O101" s="23" t="str">
        <f aca="false">IF($N101="","",ROUNDUP($N101/Parámetros!$B$19*(1+Parámetros!$B$17),0))</f>
        <v/>
      </c>
      <c r="P101" s="23" t="str">
        <f aca="false">IF($J101="","",MOD($J101-1,Parámetros!$B$16)+1)</f>
        <v/>
      </c>
      <c r="Q101" s="12"/>
      <c r="R101" s="25" t="str">
        <f aca="false">IF(OR($J101="",$O101=""),"",IF($Q101&lt;&gt;"",$Q101,WORKDAY(Parámetros!$B$13-1,SUMIFS($O$5:$O$104,$P$5:$P$104,$P101,$J$5:$J$104,"&lt;"&amp;$J101)+1,Parámetros!$G$6:$G$25)))</f>
        <v/>
      </c>
      <c r="S101" s="25" t="str">
        <f aca="false">IF($R101="","",WORKDAY($R101-1,$O101,Parámetros!$G$6:$G$25))</f>
        <v/>
      </c>
      <c r="T101" s="12"/>
      <c r="U101" s="11"/>
      <c r="V101" s="22"/>
      <c r="W101" s="21"/>
      <c r="X101" s="21"/>
      <c r="Y101" s="21"/>
    </row>
    <row r="102" customFormat="false" ht="15" hidden="false" customHeight="false" outlineLevel="0" collapsed="false">
      <c r="A102" s="13"/>
      <c r="B102" s="21"/>
      <c r="C102" s="22"/>
      <c r="D102" s="13"/>
      <c r="E102" s="22"/>
      <c r="F102" s="22"/>
      <c r="G102" s="22"/>
      <c r="H102" s="22"/>
      <c r="I102" s="23" t="str">
        <f aca="false">IF(OR($A102="",$L102="Cerrado",COUNT($E102:$H102)&lt;4),"",$E102+$F102+$G102-$H102)</f>
        <v/>
      </c>
      <c r="J102" s="23" t="str">
        <f aca="false">IF($I102="","",RANK($I102,$I$5:$I$104)+COUNTIF($I$4:$I101,$I102))</f>
        <v/>
      </c>
      <c r="K102" s="22"/>
      <c r="L102" s="13"/>
      <c r="M102" s="22"/>
      <c r="N102" s="24" t="str">
        <f aca="false">IF(OR($A102="",$K102=""),"",INDEX(Parámetros!$B$32:$D$32,MATCH($K102,Parámetros!$B$22:$D$22,0)))</f>
        <v/>
      </c>
      <c r="O102" s="23" t="str">
        <f aca="false">IF($N102="","",ROUNDUP($N102/Parámetros!$B$19*(1+Parámetros!$B$17),0))</f>
        <v/>
      </c>
      <c r="P102" s="23" t="str">
        <f aca="false">IF($J102="","",MOD($J102-1,Parámetros!$B$16)+1)</f>
        <v/>
      </c>
      <c r="Q102" s="12"/>
      <c r="R102" s="25" t="str">
        <f aca="false">IF(OR($J102="",$O102=""),"",IF($Q102&lt;&gt;"",$Q102,WORKDAY(Parámetros!$B$13-1,SUMIFS($O$5:$O$104,$P$5:$P$104,$P102,$J$5:$J$104,"&lt;"&amp;$J102)+1,Parámetros!$G$6:$G$25)))</f>
        <v/>
      </c>
      <c r="S102" s="25" t="str">
        <f aca="false">IF($R102="","",WORKDAY($R102-1,$O102,Parámetros!$G$6:$G$25))</f>
        <v/>
      </c>
      <c r="T102" s="12"/>
      <c r="U102" s="11"/>
      <c r="V102" s="22"/>
      <c r="W102" s="21"/>
      <c r="X102" s="21"/>
      <c r="Y102" s="21"/>
    </row>
    <row r="103" customFormat="false" ht="15" hidden="false" customHeight="false" outlineLevel="0" collapsed="false">
      <c r="A103" s="13"/>
      <c r="B103" s="21"/>
      <c r="C103" s="22"/>
      <c r="D103" s="13"/>
      <c r="E103" s="22"/>
      <c r="F103" s="22"/>
      <c r="G103" s="22"/>
      <c r="H103" s="22"/>
      <c r="I103" s="23" t="str">
        <f aca="false">IF(OR($A103="",$L103="Cerrado",COUNT($E103:$H103)&lt;4),"",$E103+$F103+$G103-$H103)</f>
        <v/>
      </c>
      <c r="J103" s="23" t="str">
        <f aca="false">IF($I103="","",RANK($I103,$I$5:$I$104)+COUNTIF($I$4:$I102,$I103))</f>
        <v/>
      </c>
      <c r="K103" s="22"/>
      <c r="L103" s="13"/>
      <c r="M103" s="22"/>
      <c r="N103" s="24" t="str">
        <f aca="false">IF(OR($A103="",$K103=""),"",INDEX(Parámetros!$B$32:$D$32,MATCH($K103,Parámetros!$B$22:$D$22,0)))</f>
        <v/>
      </c>
      <c r="O103" s="23" t="str">
        <f aca="false">IF($N103="","",ROUNDUP($N103/Parámetros!$B$19*(1+Parámetros!$B$17),0))</f>
        <v/>
      </c>
      <c r="P103" s="23" t="str">
        <f aca="false">IF($J103="","",MOD($J103-1,Parámetros!$B$16)+1)</f>
        <v/>
      </c>
      <c r="Q103" s="12"/>
      <c r="R103" s="25" t="str">
        <f aca="false">IF(OR($J103="",$O103=""),"",IF($Q103&lt;&gt;"",$Q103,WORKDAY(Parámetros!$B$13-1,SUMIFS($O$5:$O$104,$P$5:$P$104,$P103,$J$5:$J$104,"&lt;"&amp;$J103)+1,Parámetros!$G$6:$G$25)))</f>
        <v/>
      </c>
      <c r="S103" s="25" t="str">
        <f aca="false">IF($R103="","",WORKDAY($R103-1,$O103,Parámetros!$G$6:$G$25))</f>
        <v/>
      </c>
      <c r="T103" s="12"/>
      <c r="U103" s="11"/>
      <c r="V103" s="22"/>
      <c r="W103" s="21"/>
      <c r="X103" s="21"/>
      <c r="Y103" s="21"/>
    </row>
    <row r="104" customFormat="false" ht="15" hidden="false" customHeight="false" outlineLevel="0" collapsed="false">
      <c r="A104" s="13"/>
      <c r="B104" s="21"/>
      <c r="C104" s="22"/>
      <c r="D104" s="13"/>
      <c r="E104" s="22"/>
      <c r="F104" s="22"/>
      <c r="G104" s="22"/>
      <c r="H104" s="22"/>
      <c r="I104" s="23" t="str">
        <f aca="false">IF(OR($A104="",$L104="Cerrado",COUNT($E104:$H104)&lt;4),"",$E104+$F104+$G104-$H104)</f>
        <v/>
      </c>
      <c r="J104" s="23" t="str">
        <f aca="false">IF($I104="","",RANK($I104,$I$5:$I$104)+COUNTIF($I$4:$I103,$I104))</f>
        <v/>
      </c>
      <c r="K104" s="22"/>
      <c r="L104" s="13"/>
      <c r="M104" s="22"/>
      <c r="N104" s="24" t="str">
        <f aca="false">IF(OR($A104="",$K104=""),"",INDEX(Parámetros!$B$32:$D$32,MATCH($K104,Parámetros!$B$22:$D$22,0)))</f>
        <v/>
      </c>
      <c r="O104" s="23" t="str">
        <f aca="false">IF($N104="","",ROUNDUP($N104/Parámetros!$B$19*(1+Parámetros!$B$17),0))</f>
        <v/>
      </c>
      <c r="P104" s="23" t="str">
        <f aca="false">IF($J104="","",MOD($J104-1,Parámetros!$B$16)+1)</f>
        <v/>
      </c>
      <c r="Q104" s="12"/>
      <c r="R104" s="25" t="str">
        <f aca="false">IF(OR($J104="",$O104=""),"",IF($Q104&lt;&gt;"",$Q104,WORKDAY(Parámetros!$B$13-1,SUMIFS($O$5:$O$104,$P$5:$P$104,$P104,$J$5:$J$104,"&lt;"&amp;$J104)+1,Parámetros!$G$6:$G$25)))</f>
        <v/>
      </c>
      <c r="S104" s="25" t="str">
        <f aca="false">IF($R104="","",WORKDAY($R104-1,$O104,Parámetros!$G$6:$G$25))</f>
        <v/>
      </c>
      <c r="T104" s="12"/>
      <c r="U104" s="11"/>
      <c r="V104" s="22"/>
      <c r="W104" s="21"/>
      <c r="X104" s="21"/>
      <c r="Y104" s="21"/>
    </row>
  </sheetData>
  <autoFilter ref="A4:Y104"/>
  <conditionalFormatting sqref="V5:V104">
    <cfRule type="cellIs" priority="2" operator="equal" aboveAverage="0" equalAverage="0" bottom="0" percent="0" rank="0" text="" dxfId="7">
      <formula>"En tiempo"</formula>
    </cfRule>
    <cfRule type="cellIs" priority="3" operator="equal" aboveAverage="0" equalAverage="0" bottom="0" percent="0" rank="0" text="" dxfId="8">
      <formula>"En riesgo"</formula>
    </cfRule>
    <cfRule type="cellIs" priority="4" operator="equal" aboveAverage="0" equalAverage="0" bottom="0" percent="0" rank="0" text="" dxfId="9">
      <formula>"Bloqueado"</formula>
    </cfRule>
    <cfRule type="cellIs" priority="5" operator="equal" aboveAverage="0" equalAverage="0" bottom="0" percent="0" rank="0" text="" dxfId="10">
      <formula>"Completado"</formula>
    </cfRule>
  </conditionalFormatting>
  <conditionalFormatting sqref="S5:S104">
    <cfRule type="expression" priority="6" aboveAverage="0" equalAverage="0" bottom="0" percent="0" rank="0" text="" dxfId="11">
      <formula>AND($S5&lt;&gt;"",$T5="",$S5&lt;TODAY())</formula>
    </cfRule>
  </conditionalFormatting>
  <dataValidations count="6">
    <dataValidation allowBlank="true" errorStyle="stop" operator="between" showDropDown="false" showErrorMessage="false" showInputMessage="false" sqref="C5:C104" type="list">
      <formula1>Parámetros!$J$6:$J$7</formula1>
      <formula2>0</formula2>
    </dataValidation>
    <dataValidation allowBlank="true" errorStyle="stop" operator="between" showDropDown="false" showErrorMessage="false" showInputMessage="false" sqref="K5:K104" type="list">
      <formula1>Parámetros!$B$22:$D$22</formula1>
      <formula2>0</formula2>
    </dataValidation>
    <dataValidation allowBlank="true" errorStyle="stop" operator="between" showDropDown="false" showErrorMessage="false" showInputMessage="false" sqref="L5:L104" type="list">
      <formula1>Parámetros!$K$6:$K$15</formula1>
      <formula2>0</formula2>
    </dataValidation>
    <dataValidation allowBlank="true" errorStyle="stop" operator="between" showDropDown="false" showErrorMessage="false" showInputMessage="false" sqref="M5:M104" type="list">
      <formula1>Parámetros!$L$6:$L$9</formula1>
      <formula2>0</formula2>
    </dataValidation>
    <dataValidation allowBlank="true" errorStyle="stop" operator="between" showDropDown="false" showErrorMessage="false" showInputMessage="false" sqref="V5:V104" type="list">
      <formula1>Parámetros!$M$6:$M$9</formula1>
      <formula2>0</formula2>
    </dataValidation>
    <dataValidation allowBlank="true" error="Ingresa un número entero de 1 a 5" errorStyle="stop" operator="between" showDropDown="false" showErrorMessage="true" showInputMessage="false" sqref="E5:H104" type="whole">
      <formula1>1</formula1>
      <formula2>5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E10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5" ySplit="6" topLeftCell="F7" activePane="bottomRight" state="frozen"/>
      <selection pane="topLeft" activeCell="A1" activeCellId="0" sqref="A1"/>
      <selection pane="topRight" activeCell="F1" activeCellId="0" sqref="F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0"/>
    <col collapsed="false" customWidth="true" hidden="false" outlineLevel="0" max="3" min="3" style="0" width="40"/>
    <col collapsed="false" customWidth="true" hidden="false" outlineLevel="0" max="5" min="4" style="0" width="12"/>
    <col collapsed="false" customWidth="true" hidden="false" outlineLevel="0" max="31" min="6" style="0" width="4.2"/>
  </cols>
  <sheetData>
    <row r="1" customFormat="false" ht="19.7" hidden="false" customHeight="false" outlineLevel="0" collapsed="false">
      <c r="A1" s="1" t="s">
        <v>124</v>
      </c>
    </row>
    <row r="2" customFormat="false" ht="15" hidden="false" customHeight="false" outlineLevel="0" collapsed="false">
      <c r="A2" s="2" t="s">
        <v>125</v>
      </c>
    </row>
    <row r="4" customFormat="false" ht="51.75" hidden="false" customHeight="true" outlineLevel="0" collapsed="false">
      <c r="A4" s="9" t="s">
        <v>126</v>
      </c>
      <c r="B4" s="9" t="s">
        <v>99</v>
      </c>
      <c r="C4" s="9" t="s">
        <v>127</v>
      </c>
      <c r="D4" s="9" t="s">
        <v>128</v>
      </c>
      <c r="E4" s="9" t="s">
        <v>129</v>
      </c>
      <c r="F4" s="26" t="n">
        <f aca="false">Parámetros!$B$13-WEEKDAY(Parámetros!$B$13,2)+1</f>
        <v>46293</v>
      </c>
      <c r="G4" s="26" t="n">
        <f aca="false">F4+7</f>
        <v>46300</v>
      </c>
      <c r="H4" s="26" t="n">
        <f aca="false">G4+7</f>
        <v>46307</v>
      </c>
      <c r="I4" s="26" t="n">
        <f aca="false">H4+7</f>
        <v>46314</v>
      </c>
      <c r="J4" s="26" t="n">
        <f aca="false">I4+7</f>
        <v>46321</v>
      </c>
      <c r="K4" s="26" t="n">
        <f aca="false">J4+7</f>
        <v>46328</v>
      </c>
      <c r="L4" s="26" t="n">
        <f aca="false">K4+7</f>
        <v>46335</v>
      </c>
      <c r="M4" s="26" t="n">
        <f aca="false">L4+7</f>
        <v>46342</v>
      </c>
      <c r="N4" s="26" t="n">
        <f aca="false">M4+7</f>
        <v>46349</v>
      </c>
      <c r="O4" s="26" t="n">
        <f aca="false">N4+7</f>
        <v>46356</v>
      </c>
      <c r="P4" s="26" t="n">
        <f aca="false">O4+7</f>
        <v>46363</v>
      </c>
      <c r="Q4" s="26" t="n">
        <f aca="false">P4+7</f>
        <v>46370</v>
      </c>
      <c r="R4" s="26" t="n">
        <f aca="false">Q4+7</f>
        <v>46377</v>
      </c>
      <c r="S4" s="26" t="n">
        <f aca="false">R4+7</f>
        <v>46384</v>
      </c>
      <c r="T4" s="26" t="n">
        <f aca="false">S4+7</f>
        <v>46391</v>
      </c>
      <c r="U4" s="26" t="n">
        <f aca="false">T4+7</f>
        <v>46398</v>
      </c>
      <c r="V4" s="26" t="n">
        <f aca="false">U4+7</f>
        <v>46405</v>
      </c>
      <c r="W4" s="26" t="n">
        <f aca="false">V4+7</f>
        <v>46412</v>
      </c>
      <c r="X4" s="26" t="n">
        <f aca="false">W4+7</f>
        <v>46419</v>
      </c>
      <c r="Y4" s="26" t="n">
        <f aca="false">X4+7</f>
        <v>46426</v>
      </c>
      <c r="Z4" s="26" t="n">
        <f aca="false">Y4+7</f>
        <v>46433</v>
      </c>
      <c r="AA4" s="26" t="n">
        <f aca="false">Z4+7</f>
        <v>46440</v>
      </c>
      <c r="AB4" s="26" t="n">
        <f aca="false">AA4+7</f>
        <v>46447</v>
      </c>
      <c r="AC4" s="26" t="n">
        <f aca="false">AB4+7</f>
        <v>46454</v>
      </c>
      <c r="AD4" s="26" t="n">
        <f aca="false">AC4+7</f>
        <v>46461</v>
      </c>
      <c r="AE4" s="26" t="n">
        <f aca="false">AD4+7</f>
        <v>46468</v>
      </c>
    </row>
    <row r="5" customFormat="false" ht="15" hidden="false" customHeight="false" outlineLevel="0" collapsed="false">
      <c r="C5" s="15" t="s">
        <v>130</v>
      </c>
      <c r="F5" s="27" t="n">
        <f aca="false">COUNTIFS($D$7:$D$106,"&lt;="&amp;F$4+2,$E$7:$E$106,"&gt;="&amp;F$4+2)</f>
        <v>1</v>
      </c>
      <c r="G5" s="27" t="n">
        <f aca="false">COUNTIFS($D$7:$D$106,"&lt;="&amp;G$4+2,$E$7:$E$106,"&gt;="&amp;G$4+2)</f>
        <v>1</v>
      </c>
      <c r="H5" s="27" t="n">
        <f aca="false">COUNTIFS($D$7:$D$106,"&lt;="&amp;H$4+2,$E$7:$E$106,"&gt;="&amp;H$4+2)</f>
        <v>1</v>
      </c>
      <c r="I5" s="27" t="n">
        <f aca="false">COUNTIFS($D$7:$D$106,"&lt;="&amp;I$4+2,$E$7:$E$106,"&gt;="&amp;I$4+2)</f>
        <v>1</v>
      </c>
      <c r="J5" s="27" t="n">
        <f aca="false">COUNTIFS($D$7:$D$106,"&lt;="&amp;J$4+2,$E$7:$E$106,"&gt;="&amp;J$4+2)</f>
        <v>0</v>
      </c>
      <c r="K5" s="27" t="n">
        <f aca="false">COUNTIFS($D$7:$D$106,"&lt;="&amp;K$4+2,$E$7:$E$106,"&gt;="&amp;K$4+2)</f>
        <v>0</v>
      </c>
      <c r="L5" s="27" t="n">
        <f aca="false">COUNTIFS($D$7:$D$106,"&lt;="&amp;L$4+2,$E$7:$E$106,"&gt;="&amp;L$4+2)</f>
        <v>0</v>
      </c>
      <c r="M5" s="27" t="n">
        <f aca="false">COUNTIFS($D$7:$D$106,"&lt;="&amp;M$4+2,$E$7:$E$106,"&gt;="&amp;M$4+2)</f>
        <v>0</v>
      </c>
      <c r="N5" s="27" t="n">
        <f aca="false">COUNTIFS($D$7:$D$106,"&lt;="&amp;N$4+2,$E$7:$E$106,"&gt;="&amp;N$4+2)</f>
        <v>0</v>
      </c>
      <c r="O5" s="27" t="n">
        <f aca="false">COUNTIFS($D$7:$D$106,"&lt;="&amp;O$4+2,$E$7:$E$106,"&gt;="&amp;O$4+2)</f>
        <v>0</v>
      </c>
      <c r="P5" s="27" t="n">
        <f aca="false">COUNTIFS($D$7:$D$106,"&lt;="&amp;P$4+2,$E$7:$E$106,"&gt;="&amp;P$4+2)</f>
        <v>0</v>
      </c>
      <c r="Q5" s="27" t="n">
        <f aca="false">COUNTIFS($D$7:$D$106,"&lt;="&amp;Q$4+2,$E$7:$E$106,"&gt;="&amp;Q$4+2)</f>
        <v>0</v>
      </c>
      <c r="R5" s="27" t="n">
        <f aca="false">COUNTIFS($D$7:$D$106,"&lt;="&amp;R$4+2,$E$7:$E$106,"&gt;="&amp;R$4+2)</f>
        <v>0</v>
      </c>
      <c r="S5" s="27" t="n">
        <f aca="false">COUNTIFS($D$7:$D$106,"&lt;="&amp;S$4+2,$E$7:$E$106,"&gt;="&amp;S$4+2)</f>
        <v>0</v>
      </c>
      <c r="T5" s="27" t="n">
        <f aca="false">COUNTIFS($D$7:$D$106,"&lt;="&amp;T$4+2,$E$7:$E$106,"&gt;="&amp;T$4+2)</f>
        <v>0</v>
      </c>
      <c r="U5" s="27" t="n">
        <f aca="false">COUNTIFS($D$7:$D$106,"&lt;="&amp;U$4+2,$E$7:$E$106,"&gt;="&amp;U$4+2)</f>
        <v>0</v>
      </c>
      <c r="V5" s="27" t="n">
        <f aca="false">COUNTIFS($D$7:$D$106,"&lt;="&amp;V$4+2,$E$7:$E$106,"&gt;="&amp;V$4+2)</f>
        <v>0</v>
      </c>
      <c r="W5" s="27" t="n">
        <f aca="false">COUNTIFS($D$7:$D$106,"&lt;="&amp;W$4+2,$E$7:$E$106,"&gt;="&amp;W$4+2)</f>
        <v>0</v>
      </c>
      <c r="X5" s="27" t="n">
        <f aca="false">COUNTIFS($D$7:$D$106,"&lt;="&amp;X$4+2,$E$7:$E$106,"&gt;="&amp;X$4+2)</f>
        <v>0</v>
      </c>
      <c r="Y5" s="27" t="n">
        <f aca="false">COUNTIFS($D$7:$D$106,"&lt;="&amp;Y$4+2,$E$7:$E$106,"&gt;="&amp;Y$4+2)</f>
        <v>0</v>
      </c>
      <c r="Z5" s="27" t="n">
        <f aca="false">COUNTIFS($D$7:$D$106,"&lt;="&amp;Z$4+2,$E$7:$E$106,"&gt;="&amp;Z$4+2)</f>
        <v>0</v>
      </c>
      <c r="AA5" s="27" t="n">
        <f aca="false">COUNTIFS($D$7:$D$106,"&lt;="&amp;AA$4+2,$E$7:$E$106,"&gt;="&amp;AA$4+2)</f>
        <v>0</v>
      </c>
      <c r="AB5" s="27" t="n">
        <f aca="false">COUNTIFS($D$7:$D$106,"&lt;="&amp;AB$4+2,$E$7:$E$106,"&gt;="&amp;AB$4+2)</f>
        <v>0</v>
      </c>
      <c r="AC5" s="27" t="n">
        <f aca="false">COUNTIFS($D$7:$D$106,"&lt;="&amp;AC$4+2,$E$7:$E$106,"&gt;="&amp;AC$4+2)</f>
        <v>0</v>
      </c>
      <c r="AD5" s="27" t="n">
        <f aca="false">COUNTIFS($D$7:$D$106,"&lt;="&amp;AD$4+2,$E$7:$E$106,"&gt;="&amp;AD$4+2)</f>
        <v>0</v>
      </c>
      <c r="AE5" s="27" t="n">
        <f aca="false">COUNTIFS($D$7:$D$106,"&lt;="&amp;AE$4+2,$E$7:$E$106,"&gt;="&amp;AE$4+2)</f>
        <v>0</v>
      </c>
    </row>
    <row r="6" customFormat="false" ht="15" hidden="false" customHeight="false" outlineLevel="0" collapsed="false">
      <c r="C6" s="15" t="s">
        <v>131</v>
      </c>
      <c r="F6" s="27" t="n">
        <f aca="false">Parámetros!$B$16-F5</f>
        <v>2</v>
      </c>
      <c r="G6" s="27" t="n">
        <f aca="false">Parámetros!$B$16-G5</f>
        <v>2</v>
      </c>
      <c r="H6" s="27" t="n">
        <f aca="false">Parámetros!$B$16-H5</f>
        <v>2</v>
      </c>
      <c r="I6" s="27" t="n">
        <f aca="false">Parámetros!$B$16-I5</f>
        <v>2</v>
      </c>
      <c r="J6" s="27" t="n">
        <f aca="false">Parámetros!$B$16-J5</f>
        <v>3</v>
      </c>
      <c r="K6" s="27" t="n">
        <f aca="false">Parámetros!$B$16-K5</f>
        <v>3</v>
      </c>
      <c r="L6" s="27" t="n">
        <f aca="false">Parámetros!$B$16-L5</f>
        <v>3</v>
      </c>
      <c r="M6" s="27" t="n">
        <f aca="false">Parámetros!$B$16-M5</f>
        <v>3</v>
      </c>
      <c r="N6" s="27" t="n">
        <f aca="false">Parámetros!$B$16-N5</f>
        <v>3</v>
      </c>
      <c r="O6" s="27" t="n">
        <f aca="false">Parámetros!$B$16-O5</f>
        <v>3</v>
      </c>
      <c r="P6" s="27" t="n">
        <f aca="false">Parámetros!$B$16-P5</f>
        <v>3</v>
      </c>
      <c r="Q6" s="27" t="n">
        <f aca="false">Parámetros!$B$16-Q5</f>
        <v>3</v>
      </c>
      <c r="R6" s="27" t="n">
        <f aca="false">Parámetros!$B$16-R5</f>
        <v>3</v>
      </c>
      <c r="S6" s="27" t="n">
        <f aca="false">Parámetros!$B$16-S5</f>
        <v>3</v>
      </c>
      <c r="T6" s="27" t="n">
        <f aca="false">Parámetros!$B$16-T5</f>
        <v>3</v>
      </c>
      <c r="U6" s="27" t="n">
        <f aca="false">Parámetros!$B$16-U5</f>
        <v>3</v>
      </c>
      <c r="V6" s="27" t="n">
        <f aca="false">Parámetros!$B$16-V5</f>
        <v>3</v>
      </c>
      <c r="W6" s="27" t="n">
        <f aca="false">Parámetros!$B$16-W5</f>
        <v>3</v>
      </c>
      <c r="X6" s="27" t="n">
        <f aca="false">Parámetros!$B$16-X5</f>
        <v>3</v>
      </c>
      <c r="Y6" s="27" t="n">
        <f aca="false">Parámetros!$B$16-Y5</f>
        <v>3</v>
      </c>
      <c r="Z6" s="27" t="n">
        <f aca="false">Parámetros!$B$16-Z5</f>
        <v>3</v>
      </c>
      <c r="AA6" s="27" t="n">
        <f aca="false">Parámetros!$B$16-AA5</f>
        <v>3</v>
      </c>
      <c r="AB6" s="27" t="n">
        <f aca="false">Parámetros!$B$16-AB5</f>
        <v>3</v>
      </c>
      <c r="AC6" s="27" t="n">
        <f aca="false">Parámetros!$B$16-AC5</f>
        <v>3</v>
      </c>
      <c r="AD6" s="27" t="n">
        <f aca="false">Parámetros!$B$16-AD5</f>
        <v>3</v>
      </c>
      <c r="AE6" s="27" t="n">
        <f aca="false">Parámetros!$B$16-AE5</f>
        <v>3</v>
      </c>
    </row>
    <row r="7" customFormat="false" ht="15" hidden="false" customHeight="false" outlineLevel="0" collapsed="false">
      <c r="A7" s="28" t="n">
        <v>1</v>
      </c>
      <c r="B7" s="14" t="str">
        <f aca="false">IFERROR(INDEX(Tablero!$A$5:$A$104,MATCH($A7,Tablero!$J$5:$J$104,0))&amp;"","")</f>
        <v>REQ-001</v>
      </c>
      <c r="C7" s="14" t="str">
        <f aca="false">IFERROR(INDEX(Tablero!$B$5:$B$104,MATCH($A7,Tablero!$J$5:$J$104,0))&amp;"","")</f>
        <v>EJEMPLO: agregar filtro por fecha en el reporte de ventas</v>
      </c>
      <c r="D7" s="29" t="n">
        <f aca="false">IFERROR(INDEX(Tablero!$R$5:$R$104,MATCH($A7,Tablero!$J$5:$J$104,0)),"")</f>
        <v>46293</v>
      </c>
      <c r="E7" s="29" t="n">
        <f aca="false">IFERROR(INDEX(Tablero!$S$5:$S$104,MATCH($A7,Tablero!$J$5:$J$104,0)),"")</f>
        <v>46316</v>
      </c>
      <c r="F7" s="30" t="n">
        <f aca="false">IF(OR($D7="",$E7=""),"",IF(AND($D7&lt;=F$4+4,$E7&gt;=F$4),1,""))</f>
        <v>1</v>
      </c>
      <c r="G7" s="30" t="n">
        <f aca="false">IF(OR($D7="",$E7=""),"",IF(AND($D7&lt;=G$4+4,$E7&gt;=G$4),1,""))</f>
        <v>1</v>
      </c>
      <c r="H7" s="30" t="n">
        <f aca="false">IF(OR($D7="",$E7=""),"",IF(AND($D7&lt;=H$4+4,$E7&gt;=H$4),1,""))</f>
        <v>1</v>
      </c>
      <c r="I7" s="30" t="n">
        <f aca="false">IF(OR($D7="",$E7=""),"",IF(AND($D7&lt;=I$4+4,$E7&gt;=I$4),1,""))</f>
        <v>1</v>
      </c>
      <c r="J7" s="30" t="str">
        <f aca="false">IF(OR($D7="",$E7=""),"",IF(AND($D7&lt;=J$4+4,$E7&gt;=J$4),1,""))</f>
        <v/>
      </c>
      <c r="K7" s="30" t="str">
        <f aca="false">IF(OR($D7="",$E7=""),"",IF(AND($D7&lt;=K$4+4,$E7&gt;=K$4),1,""))</f>
        <v/>
      </c>
      <c r="L7" s="30" t="str">
        <f aca="false">IF(OR($D7="",$E7=""),"",IF(AND($D7&lt;=L$4+4,$E7&gt;=L$4),1,""))</f>
        <v/>
      </c>
      <c r="M7" s="30" t="str">
        <f aca="false">IF(OR($D7="",$E7=""),"",IF(AND($D7&lt;=M$4+4,$E7&gt;=M$4),1,""))</f>
        <v/>
      </c>
      <c r="N7" s="30" t="str">
        <f aca="false">IF(OR($D7="",$E7=""),"",IF(AND($D7&lt;=N$4+4,$E7&gt;=N$4),1,""))</f>
        <v/>
      </c>
      <c r="O7" s="30" t="str">
        <f aca="false">IF(OR($D7="",$E7=""),"",IF(AND($D7&lt;=O$4+4,$E7&gt;=O$4),1,""))</f>
        <v/>
      </c>
      <c r="P7" s="30" t="str">
        <f aca="false">IF(OR($D7="",$E7=""),"",IF(AND($D7&lt;=P$4+4,$E7&gt;=P$4),1,""))</f>
        <v/>
      </c>
      <c r="Q7" s="30" t="str">
        <f aca="false">IF(OR($D7="",$E7=""),"",IF(AND($D7&lt;=Q$4+4,$E7&gt;=Q$4),1,""))</f>
        <v/>
      </c>
      <c r="R7" s="30" t="str">
        <f aca="false">IF(OR($D7="",$E7=""),"",IF(AND($D7&lt;=R$4+4,$E7&gt;=R$4),1,""))</f>
        <v/>
      </c>
      <c r="S7" s="30" t="str">
        <f aca="false">IF(OR($D7="",$E7=""),"",IF(AND($D7&lt;=S$4+4,$E7&gt;=S$4),1,""))</f>
        <v/>
      </c>
      <c r="T7" s="30" t="str">
        <f aca="false">IF(OR($D7="",$E7=""),"",IF(AND($D7&lt;=T$4+4,$E7&gt;=T$4),1,""))</f>
        <v/>
      </c>
      <c r="U7" s="30" t="str">
        <f aca="false">IF(OR($D7="",$E7=""),"",IF(AND($D7&lt;=U$4+4,$E7&gt;=U$4),1,""))</f>
        <v/>
      </c>
      <c r="V7" s="30" t="str">
        <f aca="false">IF(OR($D7="",$E7=""),"",IF(AND($D7&lt;=V$4+4,$E7&gt;=V$4),1,""))</f>
        <v/>
      </c>
      <c r="W7" s="30" t="str">
        <f aca="false">IF(OR($D7="",$E7=""),"",IF(AND($D7&lt;=W$4+4,$E7&gt;=W$4),1,""))</f>
        <v/>
      </c>
      <c r="X7" s="30" t="str">
        <f aca="false">IF(OR($D7="",$E7=""),"",IF(AND($D7&lt;=X$4+4,$E7&gt;=X$4),1,""))</f>
        <v/>
      </c>
      <c r="Y7" s="30" t="str">
        <f aca="false">IF(OR($D7="",$E7=""),"",IF(AND($D7&lt;=Y$4+4,$E7&gt;=Y$4),1,""))</f>
        <v/>
      </c>
      <c r="Z7" s="30" t="str">
        <f aca="false">IF(OR($D7="",$E7=""),"",IF(AND($D7&lt;=Z$4+4,$E7&gt;=Z$4),1,""))</f>
        <v/>
      </c>
      <c r="AA7" s="30" t="str">
        <f aca="false">IF(OR($D7="",$E7=""),"",IF(AND($D7&lt;=AA$4+4,$E7&gt;=AA$4),1,""))</f>
        <v/>
      </c>
      <c r="AB7" s="30" t="str">
        <f aca="false">IF(OR($D7="",$E7=""),"",IF(AND($D7&lt;=AB$4+4,$E7&gt;=AB$4),1,""))</f>
        <v/>
      </c>
      <c r="AC7" s="30" t="str">
        <f aca="false">IF(OR($D7="",$E7=""),"",IF(AND($D7&lt;=AC$4+4,$E7&gt;=AC$4),1,""))</f>
        <v/>
      </c>
      <c r="AD7" s="30" t="str">
        <f aca="false">IF(OR($D7="",$E7=""),"",IF(AND($D7&lt;=AD$4+4,$E7&gt;=AD$4),1,""))</f>
        <v/>
      </c>
      <c r="AE7" s="30" t="str">
        <f aca="false">IF(OR($D7="",$E7=""),"",IF(AND($D7&lt;=AE$4+4,$E7&gt;=AE$4),1,""))</f>
        <v/>
      </c>
    </row>
    <row r="8" customFormat="false" ht="15" hidden="false" customHeight="false" outlineLevel="0" collapsed="false">
      <c r="A8" s="28" t="n">
        <v>2</v>
      </c>
      <c r="B8" s="14" t="str">
        <f aca="false">IFERROR(INDEX(Tablero!$A$5:$A$104,MATCH($A8,Tablero!$J$5:$J$104,0))&amp;"","")</f>
        <v/>
      </c>
      <c r="C8" s="14" t="str">
        <f aca="false">IFERROR(INDEX(Tablero!$B$5:$B$104,MATCH($A8,Tablero!$J$5:$J$104,0))&amp;"","")</f>
        <v/>
      </c>
      <c r="D8" s="29" t="str">
        <f aca="false">IFERROR(INDEX(Tablero!$R$5:$R$104,MATCH($A8,Tablero!$J$5:$J$104,0)),"")</f>
        <v/>
      </c>
      <c r="E8" s="29" t="str">
        <f aca="false">IFERROR(INDEX(Tablero!$S$5:$S$104,MATCH($A8,Tablero!$J$5:$J$104,0)),"")</f>
        <v/>
      </c>
      <c r="F8" s="30" t="str">
        <f aca="false">IF(OR($D8="",$E8=""),"",IF(AND($D8&lt;=F$4+4,$E8&gt;=F$4),1,""))</f>
        <v/>
      </c>
      <c r="G8" s="30" t="str">
        <f aca="false">IF(OR($D8="",$E8=""),"",IF(AND($D8&lt;=G$4+4,$E8&gt;=G$4),1,""))</f>
        <v/>
      </c>
      <c r="H8" s="30" t="str">
        <f aca="false">IF(OR($D8="",$E8=""),"",IF(AND($D8&lt;=H$4+4,$E8&gt;=H$4),1,""))</f>
        <v/>
      </c>
      <c r="I8" s="30" t="str">
        <f aca="false">IF(OR($D8="",$E8=""),"",IF(AND($D8&lt;=I$4+4,$E8&gt;=I$4),1,""))</f>
        <v/>
      </c>
      <c r="J8" s="30" t="str">
        <f aca="false">IF(OR($D8="",$E8=""),"",IF(AND($D8&lt;=J$4+4,$E8&gt;=J$4),1,""))</f>
        <v/>
      </c>
      <c r="K8" s="30" t="str">
        <f aca="false">IF(OR($D8="",$E8=""),"",IF(AND($D8&lt;=K$4+4,$E8&gt;=K$4),1,""))</f>
        <v/>
      </c>
      <c r="L8" s="30" t="str">
        <f aca="false">IF(OR($D8="",$E8=""),"",IF(AND($D8&lt;=L$4+4,$E8&gt;=L$4),1,""))</f>
        <v/>
      </c>
      <c r="M8" s="30" t="str">
        <f aca="false">IF(OR($D8="",$E8=""),"",IF(AND($D8&lt;=M$4+4,$E8&gt;=M$4),1,""))</f>
        <v/>
      </c>
      <c r="N8" s="30" t="str">
        <f aca="false">IF(OR($D8="",$E8=""),"",IF(AND($D8&lt;=N$4+4,$E8&gt;=N$4),1,""))</f>
        <v/>
      </c>
      <c r="O8" s="30" t="str">
        <f aca="false">IF(OR($D8="",$E8=""),"",IF(AND($D8&lt;=O$4+4,$E8&gt;=O$4),1,""))</f>
        <v/>
      </c>
      <c r="P8" s="30" t="str">
        <f aca="false">IF(OR($D8="",$E8=""),"",IF(AND($D8&lt;=P$4+4,$E8&gt;=P$4),1,""))</f>
        <v/>
      </c>
      <c r="Q8" s="30" t="str">
        <f aca="false">IF(OR($D8="",$E8=""),"",IF(AND($D8&lt;=Q$4+4,$E8&gt;=Q$4),1,""))</f>
        <v/>
      </c>
      <c r="R8" s="30" t="str">
        <f aca="false">IF(OR($D8="",$E8=""),"",IF(AND($D8&lt;=R$4+4,$E8&gt;=R$4),1,""))</f>
        <v/>
      </c>
      <c r="S8" s="30" t="str">
        <f aca="false">IF(OR($D8="",$E8=""),"",IF(AND($D8&lt;=S$4+4,$E8&gt;=S$4),1,""))</f>
        <v/>
      </c>
      <c r="T8" s="30" t="str">
        <f aca="false">IF(OR($D8="",$E8=""),"",IF(AND($D8&lt;=T$4+4,$E8&gt;=T$4),1,""))</f>
        <v/>
      </c>
      <c r="U8" s="30" t="str">
        <f aca="false">IF(OR($D8="",$E8=""),"",IF(AND($D8&lt;=U$4+4,$E8&gt;=U$4),1,""))</f>
        <v/>
      </c>
      <c r="V8" s="30" t="str">
        <f aca="false">IF(OR($D8="",$E8=""),"",IF(AND($D8&lt;=V$4+4,$E8&gt;=V$4),1,""))</f>
        <v/>
      </c>
      <c r="W8" s="30" t="str">
        <f aca="false">IF(OR($D8="",$E8=""),"",IF(AND($D8&lt;=W$4+4,$E8&gt;=W$4),1,""))</f>
        <v/>
      </c>
      <c r="X8" s="30" t="str">
        <f aca="false">IF(OR($D8="",$E8=""),"",IF(AND($D8&lt;=X$4+4,$E8&gt;=X$4),1,""))</f>
        <v/>
      </c>
      <c r="Y8" s="30" t="str">
        <f aca="false">IF(OR($D8="",$E8=""),"",IF(AND($D8&lt;=Y$4+4,$E8&gt;=Y$4),1,""))</f>
        <v/>
      </c>
      <c r="Z8" s="30" t="str">
        <f aca="false">IF(OR($D8="",$E8=""),"",IF(AND($D8&lt;=Z$4+4,$E8&gt;=Z$4),1,""))</f>
        <v/>
      </c>
      <c r="AA8" s="30" t="str">
        <f aca="false">IF(OR($D8="",$E8=""),"",IF(AND($D8&lt;=AA$4+4,$E8&gt;=AA$4),1,""))</f>
        <v/>
      </c>
      <c r="AB8" s="30" t="str">
        <f aca="false">IF(OR($D8="",$E8=""),"",IF(AND($D8&lt;=AB$4+4,$E8&gt;=AB$4),1,""))</f>
        <v/>
      </c>
      <c r="AC8" s="30" t="str">
        <f aca="false">IF(OR($D8="",$E8=""),"",IF(AND($D8&lt;=AC$4+4,$E8&gt;=AC$4),1,""))</f>
        <v/>
      </c>
      <c r="AD8" s="30" t="str">
        <f aca="false">IF(OR($D8="",$E8=""),"",IF(AND($D8&lt;=AD$4+4,$E8&gt;=AD$4),1,""))</f>
        <v/>
      </c>
      <c r="AE8" s="30" t="str">
        <f aca="false">IF(OR($D8="",$E8=""),"",IF(AND($D8&lt;=AE$4+4,$E8&gt;=AE$4),1,""))</f>
        <v/>
      </c>
    </row>
    <row r="9" customFormat="false" ht="15" hidden="false" customHeight="false" outlineLevel="0" collapsed="false">
      <c r="A9" s="28" t="n">
        <v>3</v>
      </c>
      <c r="B9" s="14" t="str">
        <f aca="false">IFERROR(INDEX(Tablero!$A$5:$A$104,MATCH($A9,Tablero!$J$5:$J$104,0))&amp;"","")</f>
        <v/>
      </c>
      <c r="C9" s="14" t="str">
        <f aca="false">IFERROR(INDEX(Tablero!$B$5:$B$104,MATCH($A9,Tablero!$J$5:$J$104,0))&amp;"","")</f>
        <v/>
      </c>
      <c r="D9" s="29" t="str">
        <f aca="false">IFERROR(INDEX(Tablero!$R$5:$R$104,MATCH($A9,Tablero!$J$5:$J$104,0)),"")</f>
        <v/>
      </c>
      <c r="E9" s="29" t="str">
        <f aca="false">IFERROR(INDEX(Tablero!$S$5:$S$104,MATCH($A9,Tablero!$J$5:$J$104,0)),"")</f>
        <v/>
      </c>
      <c r="F9" s="30" t="str">
        <f aca="false">IF(OR($D9="",$E9=""),"",IF(AND($D9&lt;=F$4+4,$E9&gt;=F$4),1,""))</f>
        <v/>
      </c>
      <c r="G9" s="30" t="str">
        <f aca="false">IF(OR($D9="",$E9=""),"",IF(AND($D9&lt;=G$4+4,$E9&gt;=G$4),1,""))</f>
        <v/>
      </c>
      <c r="H9" s="30" t="str">
        <f aca="false">IF(OR($D9="",$E9=""),"",IF(AND($D9&lt;=H$4+4,$E9&gt;=H$4),1,""))</f>
        <v/>
      </c>
      <c r="I9" s="30" t="str">
        <f aca="false">IF(OR($D9="",$E9=""),"",IF(AND($D9&lt;=I$4+4,$E9&gt;=I$4),1,""))</f>
        <v/>
      </c>
      <c r="J9" s="30" t="str">
        <f aca="false">IF(OR($D9="",$E9=""),"",IF(AND($D9&lt;=J$4+4,$E9&gt;=J$4),1,""))</f>
        <v/>
      </c>
      <c r="K9" s="30" t="str">
        <f aca="false">IF(OR($D9="",$E9=""),"",IF(AND($D9&lt;=K$4+4,$E9&gt;=K$4),1,""))</f>
        <v/>
      </c>
      <c r="L9" s="30" t="str">
        <f aca="false">IF(OR($D9="",$E9=""),"",IF(AND($D9&lt;=L$4+4,$E9&gt;=L$4),1,""))</f>
        <v/>
      </c>
      <c r="M9" s="30" t="str">
        <f aca="false">IF(OR($D9="",$E9=""),"",IF(AND($D9&lt;=M$4+4,$E9&gt;=M$4),1,""))</f>
        <v/>
      </c>
      <c r="N9" s="30" t="str">
        <f aca="false">IF(OR($D9="",$E9=""),"",IF(AND($D9&lt;=N$4+4,$E9&gt;=N$4),1,""))</f>
        <v/>
      </c>
      <c r="O9" s="30" t="str">
        <f aca="false">IF(OR($D9="",$E9=""),"",IF(AND($D9&lt;=O$4+4,$E9&gt;=O$4),1,""))</f>
        <v/>
      </c>
      <c r="P9" s="30" t="str">
        <f aca="false">IF(OR($D9="",$E9=""),"",IF(AND($D9&lt;=P$4+4,$E9&gt;=P$4),1,""))</f>
        <v/>
      </c>
      <c r="Q9" s="30" t="str">
        <f aca="false">IF(OR($D9="",$E9=""),"",IF(AND($D9&lt;=Q$4+4,$E9&gt;=Q$4),1,""))</f>
        <v/>
      </c>
      <c r="R9" s="30" t="str">
        <f aca="false">IF(OR($D9="",$E9=""),"",IF(AND($D9&lt;=R$4+4,$E9&gt;=R$4),1,""))</f>
        <v/>
      </c>
      <c r="S9" s="30" t="str">
        <f aca="false">IF(OR($D9="",$E9=""),"",IF(AND($D9&lt;=S$4+4,$E9&gt;=S$4),1,""))</f>
        <v/>
      </c>
      <c r="T9" s="30" t="str">
        <f aca="false">IF(OR($D9="",$E9=""),"",IF(AND($D9&lt;=T$4+4,$E9&gt;=T$4),1,""))</f>
        <v/>
      </c>
      <c r="U9" s="30" t="str">
        <f aca="false">IF(OR($D9="",$E9=""),"",IF(AND($D9&lt;=U$4+4,$E9&gt;=U$4),1,""))</f>
        <v/>
      </c>
      <c r="V9" s="30" t="str">
        <f aca="false">IF(OR($D9="",$E9=""),"",IF(AND($D9&lt;=V$4+4,$E9&gt;=V$4),1,""))</f>
        <v/>
      </c>
      <c r="W9" s="30" t="str">
        <f aca="false">IF(OR($D9="",$E9=""),"",IF(AND($D9&lt;=W$4+4,$E9&gt;=W$4),1,""))</f>
        <v/>
      </c>
      <c r="X9" s="30" t="str">
        <f aca="false">IF(OR($D9="",$E9=""),"",IF(AND($D9&lt;=X$4+4,$E9&gt;=X$4),1,""))</f>
        <v/>
      </c>
      <c r="Y9" s="30" t="str">
        <f aca="false">IF(OR($D9="",$E9=""),"",IF(AND($D9&lt;=Y$4+4,$E9&gt;=Y$4),1,""))</f>
        <v/>
      </c>
      <c r="Z9" s="30" t="str">
        <f aca="false">IF(OR($D9="",$E9=""),"",IF(AND($D9&lt;=Z$4+4,$E9&gt;=Z$4),1,""))</f>
        <v/>
      </c>
      <c r="AA9" s="30" t="str">
        <f aca="false">IF(OR($D9="",$E9=""),"",IF(AND($D9&lt;=AA$4+4,$E9&gt;=AA$4),1,""))</f>
        <v/>
      </c>
      <c r="AB9" s="30" t="str">
        <f aca="false">IF(OR($D9="",$E9=""),"",IF(AND($D9&lt;=AB$4+4,$E9&gt;=AB$4),1,""))</f>
        <v/>
      </c>
      <c r="AC9" s="30" t="str">
        <f aca="false">IF(OR($D9="",$E9=""),"",IF(AND($D9&lt;=AC$4+4,$E9&gt;=AC$4),1,""))</f>
        <v/>
      </c>
      <c r="AD9" s="30" t="str">
        <f aca="false">IF(OR($D9="",$E9=""),"",IF(AND($D9&lt;=AD$4+4,$E9&gt;=AD$4),1,""))</f>
        <v/>
      </c>
      <c r="AE9" s="30" t="str">
        <f aca="false">IF(OR($D9="",$E9=""),"",IF(AND($D9&lt;=AE$4+4,$E9&gt;=AE$4),1,""))</f>
        <v/>
      </c>
    </row>
    <row r="10" customFormat="false" ht="15" hidden="false" customHeight="false" outlineLevel="0" collapsed="false">
      <c r="A10" s="28" t="n">
        <v>4</v>
      </c>
      <c r="B10" s="14" t="str">
        <f aca="false">IFERROR(INDEX(Tablero!$A$5:$A$104,MATCH($A10,Tablero!$J$5:$J$104,0))&amp;"","")</f>
        <v/>
      </c>
      <c r="C10" s="14" t="str">
        <f aca="false">IFERROR(INDEX(Tablero!$B$5:$B$104,MATCH($A10,Tablero!$J$5:$J$104,0))&amp;"","")</f>
        <v/>
      </c>
      <c r="D10" s="29" t="str">
        <f aca="false">IFERROR(INDEX(Tablero!$R$5:$R$104,MATCH($A10,Tablero!$J$5:$J$104,0)),"")</f>
        <v/>
      </c>
      <c r="E10" s="29" t="str">
        <f aca="false">IFERROR(INDEX(Tablero!$S$5:$S$104,MATCH($A10,Tablero!$J$5:$J$104,0)),"")</f>
        <v/>
      </c>
      <c r="F10" s="30" t="str">
        <f aca="false">IF(OR($D10="",$E10=""),"",IF(AND($D10&lt;=F$4+4,$E10&gt;=F$4),1,""))</f>
        <v/>
      </c>
      <c r="G10" s="30" t="str">
        <f aca="false">IF(OR($D10="",$E10=""),"",IF(AND($D10&lt;=G$4+4,$E10&gt;=G$4),1,""))</f>
        <v/>
      </c>
      <c r="H10" s="30" t="str">
        <f aca="false">IF(OR($D10="",$E10=""),"",IF(AND($D10&lt;=H$4+4,$E10&gt;=H$4),1,""))</f>
        <v/>
      </c>
      <c r="I10" s="30" t="str">
        <f aca="false">IF(OR($D10="",$E10=""),"",IF(AND($D10&lt;=I$4+4,$E10&gt;=I$4),1,""))</f>
        <v/>
      </c>
      <c r="J10" s="30" t="str">
        <f aca="false">IF(OR($D10="",$E10=""),"",IF(AND($D10&lt;=J$4+4,$E10&gt;=J$4),1,""))</f>
        <v/>
      </c>
      <c r="K10" s="30" t="str">
        <f aca="false">IF(OR($D10="",$E10=""),"",IF(AND($D10&lt;=K$4+4,$E10&gt;=K$4),1,""))</f>
        <v/>
      </c>
      <c r="L10" s="30" t="str">
        <f aca="false">IF(OR($D10="",$E10=""),"",IF(AND($D10&lt;=L$4+4,$E10&gt;=L$4),1,""))</f>
        <v/>
      </c>
      <c r="M10" s="30" t="str">
        <f aca="false">IF(OR($D10="",$E10=""),"",IF(AND($D10&lt;=M$4+4,$E10&gt;=M$4),1,""))</f>
        <v/>
      </c>
      <c r="N10" s="30" t="str">
        <f aca="false">IF(OR($D10="",$E10=""),"",IF(AND($D10&lt;=N$4+4,$E10&gt;=N$4),1,""))</f>
        <v/>
      </c>
      <c r="O10" s="30" t="str">
        <f aca="false">IF(OR($D10="",$E10=""),"",IF(AND($D10&lt;=O$4+4,$E10&gt;=O$4),1,""))</f>
        <v/>
      </c>
      <c r="P10" s="30" t="str">
        <f aca="false">IF(OR($D10="",$E10=""),"",IF(AND($D10&lt;=P$4+4,$E10&gt;=P$4),1,""))</f>
        <v/>
      </c>
      <c r="Q10" s="30" t="str">
        <f aca="false">IF(OR($D10="",$E10=""),"",IF(AND($D10&lt;=Q$4+4,$E10&gt;=Q$4),1,""))</f>
        <v/>
      </c>
      <c r="R10" s="30" t="str">
        <f aca="false">IF(OR($D10="",$E10=""),"",IF(AND($D10&lt;=R$4+4,$E10&gt;=R$4),1,""))</f>
        <v/>
      </c>
      <c r="S10" s="30" t="str">
        <f aca="false">IF(OR($D10="",$E10=""),"",IF(AND($D10&lt;=S$4+4,$E10&gt;=S$4),1,""))</f>
        <v/>
      </c>
      <c r="T10" s="30" t="str">
        <f aca="false">IF(OR($D10="",$E10=""),"",IF(AND($D10&lt;=T$4+4,$E10&gt;=T$4),1,""))</f>
        <v/>
      </c>
      <c r="U10" s="30" t="str">
        <f aca="false">IF(OR($D10="",$E10=""),"",IF(AND($D10&lt;=U$4+4,$E10&gt;=U$4),1,""))</f>
        <v/>
      </c>
      <c r="V10" s="30" t="str">
        <f aca="false">IF(OR($D10="",$E10=""),"",IF(AND($D10&lt;=V$4+4,$E10&gt;=V$4),1,""))</f>
        <v/>
      </c>
      <c r="W10" s="30" t="str">
        <f aca="false">IF(OR($D10="",$E10=""),"",IF(AND($D10&lt;=W$4+4,$E10&gt;=W$4),1,""))</f>
        <v/>
      </c>
      <c r="X10" s="30" t="str">
        <f aca="false">IF(OR($D10="",$E10=""),"",IF(AND($D10&lt;=X$4+4,$E10&gt;=X$4),1,""))</f>
        <v/>
      </c>
      <c r="Y10" s="30" t="str">
        <f aca="false">IF(OR($D10="",$E10=""),"",IF(AND($D10&lt;=Y$4+4,$E10&gt;=Y$4),1,""))</f>
        <v/>
      </c>
      <c r="Z10" s="30" t="str">
        <f aca="false">IF(OR($D10="",$E10=""),"",IF(AND($D10&lt;=Z$4+4,$E10&gt;=Z$4),1,""))</f>
        <v/>
      </c>
      <c r="AA10" s="30" t="str">
        <f aca="false">IF(OR($D10="",$E10=""),"",IF(AND($D10&lt;=AA$4+4,$E10&gt;=AA$4),1,""))</f>
        <v/>
      </c>
      <c r="AB10" s="30" t="str">
        <f aca="false">IF(OR($D10="",$E10=""),"",IF(AND($D10&lt;=AB$4+4,$E10&gt;=AB$4),1,""))</f>
        <v/>
      </c>
      <c r="AC10" s="30" t="str">
        <f aca="false">IF(OR($D10="",$E10=""),"",IF(AND($D10&lt;=AC$4+4,$E10&gt;=AC$4),1,""))</f>
        <v/>
      </c>
      <c r="AD10" s="30" t="str">
        <f aca="false">IF(OR($D10="",$E10=""),"",IF(AND($D10&lt;=AD$4+4,$E10&gt;=AD$4),1,""))</f>
        <v/>
      </c>
      <c r="AE10" s="30" t="str">
        <f aca="false">IF(OR($D10="",$E10=""),"",IF(AND($D10&lt;=AE$4+4,$E10&gt;=AE$4),1,""))</f>
        <v/>
      </c>
    </row>
    <row r="11" customFormat="false" ht="15" hidden="false" customHeight="false" outlineLevel="0" collapsed="false">
      <c r="A11" s="28" t="n">
        <v>5</v>
      </c>
      <c r="B11" s="14" t="str">
        <f aca="false">IFERROR(INDEX(Tablero!$A$5:$A$104,MATCH($A11,Tablero!$J$5:$J$104,0))&amp;"","")</f>
        <v/>
      </c>
      <c r="C11" s="14" t="str">
        <f aca="false">IFERROR(INDEX(Tablero!$B$5:$B$104,MATCH($A11,Tablero!$J$5:$J$104,0))&amp;"","")</f>
        <v/>
      </c>
      <c r="D11" s="29" t="str">
        <f aca="false">IFERROR(INDEX(Tablero!$R$5:$R$104,MATCH($A11,Tablero!$J$5:$J$104,0)),"")</f>
        <v/>
      </c>
      <c r="E11" s="29" t="str">
        <f aca="false">IFERROR(INDEX(Tablero!$S$5:$S$104,MATCH($A11,Tablero!$J$5:$J$104,0)),"")</f>
        <v/>
      </c>
      <c r="F11" s="30" t="str">
        <f aca="false">IF(OR($D11="",$E11=""),"",IF(AND($D11&lt;=F$4+4,$E11&gt;=F$4),1,""))</f>
        <v/>
      </c>
      <c r="G11" s="30" t="str">
        <f aca="false">IF(OR($D11="",$E11=""),"",IF(AND($D11&lt;=G$4+4,$E11&gt;=G$4),1,""))</f>
        <v/>
      </c>
      <c r="H11" s="30" t="str">
        <f aca="false">IF(OR($D11="",$E11=""),"",IF(AND($D11&lt;=H$4+4,$E11&gt;=H$4),1,""))</f>
        <v/>
      </c>
      <c r="I11" s="30" t="str">
        <f aca="false">IF(OR($D11="",$E11=""),"",IF(AND($D11&lt;=I$4+4,$E11&gt;=I$4),1,""))</f>
        <v/>
      </c>
      <c r="J11" s="30" t="str">
        <f aca="false">IF(OR($D11="",$E11=""),"",IF(AND($D11&lt;=J$4+4,$E11&gt;=J$4),1,""))</f>
        <v/>
      </c>
      <c r="K11" s="30" t="str">
        <f aca="false">IF(OR($D11="",$E11=""),"",IF(AND($D11&lt;=K$4+4,$E11&gt;=K$4),1,""))</f>
        <v/>
      </c>
      <c r="L11" s="30" t="str">
        <f aca="false">IF(OR($D11="",$E11=""),"",IF(AND($D11&lt;=L$4+4,$E11&gt;=L$4),1,""))</f>
        <v/>
      </c>
      <c r="M11" s="30" t="str">
        <f aca="false">IF(OR($D11="",$E11=""),"",IF(AND($D11&lt;=M$4+4,$E11&gt;=M$4),1,""))</f>
        <v/>
      </c>
      <c r="N11" s="30" t="str">
        <f aca="false">IF(OR($D11="",$E11=""),"",IF(AND($D11&lt;=N$4+4,$E11&gt;=N$4),1,""))</f>
        <v/>
      </c>
      <c r="O11" s="30" t="str">
        <f aca="false">IF(OR($D11="",$E11=""),"",IF(AND($D11&lt;=O$4+4,$E11&gt;=O$4),1,""))</f>
        <v/>
      </c>
      <c r="P11" s="30" t="str">
        <f aca="false">IF(OR($D11="",$E11=""),"",IF(AND($D11&lt;=P$4+4,$E11&gt;=P$4),1,""))</f>
        <v/>
      </c>
      <c r="Q11" s="30" t="str">
        <f aca="false">IF(OR($D11="",$E11=""),"",IF(AND($D11&lt;=Q$4+4,$E11&gt;=Q$4),1,""))</f>
        <v/>
      </c>
      <c r="R11" s="30" t="str">
        <f aca="false">IF(OR($D11="",$E11=""),"",IF(AND($D11&lt;=R$4+4,$E11&gt;=R$4),1,""))</f>
        <v/>
      </c>
      <c r="S11" s="30" t="str">
        <f aca="false">IF(OR($D11="",$E11=""),"",IF(AND($D11&lt;=S$4+4,$E11&gt;=S$4),1,""))</f>
        <v/>
      </c>
      <c r="T11" s="30" t="str">
        <f aca="false">IF(OR($D11="",$E11=""),"",IF(AND($D11&lt;=T$4+4,$E11&gt;=T$4),1,""))</f>
        <v/>
      </c>
      <c r="U11" s="30" t="str">
        <f aca="false">IF(OR($D11="",$E11=""),"",IF(AND($D11&lt;=U$4+4,$E11&gt;=U$4),1,""))</f>
        <v/>
      </c>
      <c r="V11" s="30" t="str">
        <f aca="false">IF(OR($D11="",$E11=""),"",IF(AND($D11&lt;=V$4+4,$E11&gt;=V$4),1,""))</f>
        <v/>
      </c>
      <c r="W11" s="30" t="str">
        <f aca="false">IF(OR($D11="",$E11=""),"",IF(AND($D11&lt;=W$4+4,$E11&gt;=W$4),1,""))</f>
        <v/>
      </c>
      <c r="X11" s="30" t="str">
        <f aca="false">IF(OR($D11="",$E11=""),"",IF(AND($D11&lt;=X$4+4,$E11&gt;=X$4),1,""))</f>
        <v/>
      </c>
      <c r="Y11" s="30" t="str">
        <f aca="false">IF(OR($D11="",$E11=""),"",IF(AND($D11&lt;=Y$4+4,$E11&gt;=Y$4),1,""))</f>
        <v/>
      </c>
      <c r="Z11" s="30" t="str">
        <f aca="false">IF(OR($D11="",$E11=""),"",IF(AND($D11&lt;=Z$4+4,$E11&gt;=Z$4),1,""))</f>
        <v/>
      </c>
      <c r="AA11" s="30" t="str">
        <f aca="false">IF(OR($D11="",$E11=""),"",IF(AND($D11&lt;=AA$4+4,$E11&gt;=AA$4),1,""))</f>
        <v/>
      </c>
      <c r="AB11" s="30" t="str">
        <f aca="false">IF(OR($D11="",$E11=""),"",IF(AND($D11&lt;=AB$4+4,$E11&gt;=AB$4),1,""))</f>
        <v/>
      </c>
      <c r="AC11" s="30" t="str">
        <f aca="false">IF(OR($D11="",$E11=""),"",IF(AND($D11&lt;=AC$4+4,$E11&gt;=AC$4),1,""))</f>
        <v/>
      </c>
      <c r="AD11" s="30" t="str">
        <f aca="false">IF(OR($D11="",$E11=""),"",IF(AND($D11&lt;=AD$4+4,$E11&gt;=AD$4),1,""))</f>
        <v/>
      </c>
      <c r="AE11" s="30" t="str">
        <f aca="false">IF(OR($D11="",$E11=""),"",IF(AND($D11&lt;=AE$4+4,$E11&gt;=AE$4),1,""))</f>
        <v/>
      </c>
    </row>
    <row r="12" customFormat="false" ht="15" hidden="false" customHeight="false" outlineLevel="0" collapsed="false">
      <c r="A12" s="28" t="n">
        <v>6</v>
      </c>
      <c r="B12" s="14" t="str">
        <f aca="false">IFERROR(INDEX(Tablero!$A$5:$A$104,MATCH($A12,Tablero!$J$5:$J$104,0))&amp;"","")</f>
        <v/>
      </c>
      <c r="C12" s="14" t="str">
        <f aca="false">IFERROR(INDEX(Tablero!$B$5:$B$104,MATCH($A12,Tablero!$J$5:$J$104,0))&amp;"","")</f>
        <v/>
      </c>
      <c r="D12" s="29" t="str">
        <f aca="false">IFERROR(INDEX(Tablero!$R$5:$R$104,MATCH($A12,Tablero!$J$5:$J$104,0)),"")</f>
        <v/>
      </c>
      <c r="E12" s="29" t="str">
        <f aca="false">IFERROR(INDEX(Tablero!$S$5:$S$104,MATCH($A12,Tablero!$J$5:$J$104,0)),"")</f>
        <v/>
      </c>
      <c r="F12" s="30" t="str">
        <f aca="false">IF(OR($D12="",$E12=""),"",IF(AND($D12&lt;=F$4+4,$E12&gt;=F$4),1,""))</f>
        <v/>
      </c>
      <c r="G12" s="30" t="str">
        <f aca="false">IF(OR($D12="",$E12=""),"",IF(AND($D12&lt;=G$4+4,$E12&gt;=G$4),1,""))</f>
        <v/>
      </c>
      <c r="H12" s="30" t="str">
        <f aca="false">IF(OR($D12="",$E12=""),"",IF(AND($D12&lt;=H$4+4,$E12&gt;=H$4),1,""))</f>
        <v/>
      </c>
      <c r="I12" s="30" t="str">
        <f aca="false">IF(OR($D12="",$E12=""),"",IF(AND($D12&lt;=I$4+4,$E12&gt;=I$4),1,""))</f>
        <v/>
      </c>
      <c r="J12" s="30" t="str">
        <f aca="false">IF(OR($D12="",$E12=""),"",IF(AND($D12&lt;=J$4+4,$E12&gt;=J$4),1,""))</f>
        <v/>
      </c>
      <c r="K12" s="30" t="str">
        <f aca="false">IF(OR($D12="",$E12=""),"",IF(AND($D12&lt;=K$4+4,$E12&gt;=K$4),1,""))</f>
        <v/>
      </c>
      <c r="L12" s="30" t="str">
        <f aca="false">IF(OR($D12="",$E12=""),"",IF(AND($D12&lt;=L$4+4,$E12&gt;=L$4),1,""))</f>
        <v/>
      </c>
      <c r="M12" s="30" t="str">
        <f aca="false">IF(OR($D12="",$E12=""),"",IF(AND($D12&lt;=M$4+4,$E12&gt;=M$4),1,""))</f>
        <v/>
      </c>
      <c r="N12" s="30" t="str">
        <f aca="false">IF(OR($D12="",$E12=""),"",IF(AND($D12&lt;=N$4+4,$E12&gt;=N$4),1,""))</f>
        <v/>
      </c>
      <c r="O12" s="30" t="str">
        <f aca="false">IF(OR($D12="",$E12=""),"",IF(AND($D12&lt;=O$4+4,$E12&gt;=O$4),1,""))</f>
        <v/>
      </c>
      <c r="P12" s="30" t="str">
        <f aca="false">IF(OR($D12="",$E12=""),"",IF(AND($D12&lt;=P$4+4,$E12&gt;=P$4),1,""))</f>
        <v/>
      </c>
      <c r="Q12" s="30" t="str">
        <f aca="false">IF(OR($D12="",$E12=""),"",IF(AND($D12&lt;=Q$4+4,$E12&gt;=Q$4),1,""))</f>
        <v/>
      </c>
      <c r="R12" s="30" t="str">
        <f aca="false">IF(OR($D12="",$E12=""),"",IF(AND($D12&lt;=R$4+4,$E12&gt;=R$4),1,""))</f>
        <v/>
      </c>
      <c r="S12" s="30" t="str">
        <f aca="false">IF(OR($D12="",$E12=""),"",IF(AND($D12&lt;=S$4+4,$E12&gt;=S$4),1,""))</f>
        <v/>
      </c>
      <c r="T12" s="30" t="str">
        <f aca="false">IF(OR($D12="",$E12=""),"",IF(AND($D12&lt;=T$4+4,$E12&gt;=T$4),1,""))</f>
        <v/>
      </c>
      <c r="U12" s="30" t="str">
        <f aca="false">IF(OR($D12="",$E12=""),"",IF(AND($D12&lt;=U$4+4,$E12&gt;=U$4),1,""))</f>
        <v/>
      </c>
      <c r="V12" s="30" t="str">
        <f aca="false">IF(OR($D12="",$E12=""),"",IF(AND($D12&lt;=V$4+4,$E12&gt;=V$4),1,""))</f>
        <v/>
      </c>
      <c r="W12" s="30" t="str">
        <f aca="false">IF(OR($D12="",$E12=""),"",IF(AND($D12&lt;=W$4+4,$E12&gt;=W$4),1,""))</f>
        <v/>
      </c>
      <c r="X12" s="30" t="str">
        <f aca="false">IF(OR($D12="",$E12=""),"",IF(AND($D12&lt;=X$4+4,$E12&gt;=X$4),1,""))</f>
        <v/>
      </c>
      <c r="Y12" s="30" t="str">
        <f aca="false">IF(OR($D12="",$E12=""),"",IF(AND($D12&lt;=Y$4+4,$E12&gt;=Y$4),1,""))</f>
        <v/>
      </c>
      <c r="Z12" s="30" t="str">
        <f aca="false">IF(OR($D12="",$E12=""),"",IF(AND($D12&lt;=Z$4+4,$E12&gt;=Z$4),1,""))</f>
        <v/>
      </c>
      <c r="AA12" s="30" t="str">
        <f aca="false">IF(OR($D12="",$E12=""),"",IF(AND($D12&lt;=AA$4+4,$E12&gt;=AA$4),1,""))</f>
        <v/>
      </c>
      <c r="AB12" s="30" t="str">
        <f aca="false">IF(OR($D12="",$E12=""),"",IF(AND($D12&lt;=AB$4+4,$E12&gt;=AB$4),1,""))</f>
        <v/>
      </c>
      <c r="AC12" s="30" t="str">
        <f aca="false">IF(OR($D12="",$E12=""),"",IF(AND($D12&lt;=AC$4+4,$E12&gt;=AC$4),1,""))</f>
        <v/>
      </c>
      <c r="AD12" s="30" t="str">
        <f aca="false">IF(OR($D12="",$E12=""),"",IF(AND($D12&lt;=AD$4+4,$E12&gt;=AD$4),1,""))</f>
        <v/>
      </c>
      <c r="AE12" s="30" t="str">
        <f aca="false">IF(OR($D12="",$E12=""),"",IF(AND($D12&lt;=AE$4+4,$E12&gt;=AE$4),1,""))</f>
        <v/>
      </c>
    </row>
    <row r="13" customFormat="false" ht="15" hidden="false" customHeight="false" outlineLevel="0" collapsed="false">
      <c r="A13" s="28" t="n">
        <v>7</v>
      </c>
      <c r="B13" s="14" t="str">
        <f aca="false">IFERROR(INDEX(Tablero!$A$5:$A$104,MATCH($A13,Tablero!$J$5:$J$104,0))&amp;"","")</f>
        <v/>
      </c>
      <c r="C13" s="14" t="str">
        <f aca="false">IFERROR(INDEX(Tablero!$B$5:$B$104,MATCH($A13,Tablero!$J$5:$J$104,0))&amp;"","")</f>
        <v/>
      </c>
      <c r="D13" s="29" t="str">
        <f aca="false">IFERROR(INDEX(Tablero!$R$5:$R$104,MATCH($A13,Tablero!$J$5:$J$104,0)),"")</f>
        <v/>
      </c>
      <c r="E13" s="29" t="str">
        <f aca="false">IFERROR(INDEX(Tablero!$S$5:$S$104,MATCH($A13,Tablero!$J$5:$J$104,0)),"")</f>
        <v/>
      </c>
      <c r="F13" s="30" t="str">
        <f aca="false">IF(OR($D13="",$E13=""),"",IF(AND($D13&lt;=F$4+4,$E13&gt;=F$4),1,""))</f>
        <v/>
      </c>
      <c r="G13" s="30" t="str">
        <f aca="false">IF(OR($D13="",$E13=""),"",IF(AND($D13&lt;=G$4+4,$E13&gt;=G$4),1,""))</f>
        <v/>
      </c>
      <c r="H13" s="30" t="str">
        <f aca="false">IF(OR($D13="",$E13=""),"",IF(AND($D13&lt;=H$4+4,$E13&gt;=H$4),1,""))</f>
        <v/>
      </c>
      <c r="I13" s="30" t="str">
        <f aca="false">IF(OR($D13="",$E13=""),"",IF(AND($D13&lt;=I$4+4,$E13&gt;=I$4),1,""))</f>
        <v/>
      </c>
      <c r="J13" s="30" t="str">
        <f aca="false">IF(OR($D13="",$E13=""),"",IF(AND($D13&lt;=J$4+4,$E13&gt;=J$4),1,""))</f>
        <v/>
      </c>
      <c r="K13" s="30" t="str">
        <f aca="false">IF(OR($D13="",$E13=""),"",IF(AND($D13&lt;=K$4+4,$E13&gt;=K$4),1,""))</f>
        <v/>
      </c>
      <c r="L13" s="30" t="str">
        <f aca="false">IF(OR($D13="",$E13=""),"",IF(AND($D13&lt;=L$4+4,$E13&gt;=L$4),1,""))</f>
        <v/>
      </c>
      <c r="M13" s="30" t="str">
        <f aca="false">IF(OR($D13="",$E13=""),"",IF(AND($D13&lt;=M$4+4,$E13&gt;=M$4),1,""))</f>
        <v/>
      </c>
      <c r="N13" s="30" t="str">
        <f aca="false">IF(OR($D13="",$E13=""),"",IF(AND($D13&lt;=N$4+4,$E13&gt;=N$4),1,""))</f>
        <v/>
      </c>
      <c r="O13" s="30" t="str">
        <f aca="false">IF(OR($D13="",$E13=""),"",IF(AND($D13&lt;=O$4+4,$E13&gt;=O$4),1,""))</f>
        <v/>
      </c>
      <c r="P13" s="30" t="str">
        <f aca="false">IF(OR($D13="",$E13=""),"",IF(AND($D13&lt;=P$4+4,$E13&gt;=P$4),1,""))</f>
        <v/>
      </c>
      <c r="Q13" s="30" t="str">
        <f aca="false">IF(OR($D13="",$E13=""),"",IF(AND($D13&lt;=Q$4+4,$E13&gt;=Q$4),1,""))</f>
        <v/>
      </c>
      <c r="R13" s="30" t="str">
        <f aca="false">IF(OR($D13="",$E13=""),"",IF(AND($D13&lt;=R$4+4,$E13&gt;=R$4),1,""))</f>
        <v/>
      </c>
      <c r="S13" s="30" t="str">
        <f aca="false">IF(OR($D13="",$E13=""),"",IF(AND($D13&lt;=S$4+4,$E13&gt;=S$4),1,""))</f>
        <v/>
      </c>
      <c r="T13" s="30" t="str">
        <f aca="false">IF(OR($D13="",$E13=""),"",IF(AND($D13&lt;=T$4+4,$E13&gt;=T$4),1,""))</f>
        <v/>
      </c>
      <c r="U13" s="30" t="str">
        <f aca="false">IF(OR($D13="",$E13=""),"",IF(AND($D13&lt;=U$4+4,$E13&gt;=U$4),1,""))</f>
        <v/>
      </c>
      <c r="V13" s="30" t="str">
        <f aca="false">IF(OR($D13="",$E13=""),"",IF(AND($D13&lt;=V$4+4,$E13&gt;=V$4),1,""))</f>
        <v/>
      </c>
      <c r="W13" s="30" t="str">
        <f aca="false">IF(OR($D13="",$E13=""),"",IF(AND($D13&lt;=W$4+4,$E13&gt;=W$4),1,""))</f>
        <v/>
      </c>
      <c r="X13" s="30" t="str">
        <f aca="false">IF(OR($D13="",$E13=""),"",IF(AND($D13&lt;=X$4+4,$E13&gt;=X$4),1,""))</f>
        <v/>
      </c>
      <c r="Y13" s="30" t="str">
        <f aca="false">IF(OR($D13="",$E13=""),"",IF(AND($D13&lt;=Y$4+4,$E13&gt;=Y$4),1,""))</f>
        <v/>
      </c>
      <c r="Z13" s="30" t="str">
        <f aca="false">IF(OR($D13="",$E13=""),"",IF(AND($D13&lt;=Z$4+4,$E13&gt;=Z$4),1,""))</f>
        <v/>
      </c>
      <c r="AA13" s="30" t="str">
        <f aca="false">IF(OR($D13="",$E13=""),"",IF(AND($D13&lt;=AA$4+4,$E13&gt;=AA$4),1,""))</f>
        <v/>
      </c>
      <c r="AB13" s="30" t="str">
        <f aca="false">IF(OR($D13="",$E13=""),"",IF(AND($D13&lt;=AB$4+4,$E13&gt;=AB$4),1,""))</f>
        <v/>
      </c>
      <c r="AC13" s="30" t="str">
        <f aca="false">IF(OR($D13="",$E13=""),"",IF(AND($D13&lt;=AC$4+4,$E13&gt;=AC$4),1,""))</f>
        <v/>
      </c>
      <c r="AD13" s="30" t="str">
        <f aca="false">IF(OR($D13="",$E13=""),"",IF(AND($D13&lt;=AD$4+4,$E13&gt;=AD$4),1,""))</f>
        <v/>
      </c>
      <c r="AE13" s="30" t="str">
        <f aca="false">IF(OR($D13="",$E13=""),"",IF(AND($D13&lt;=AE$4+4,$E13&gt;=AE$4),1,""))</f>
        <v/>
      </c>
    </row>
    <row r="14" customFormat="false" ht="15" hidden="false" customHeight="false" outlineLevel="0" collapsed="false">
      <c r="A14" s="28" t="n">
        <v>8</v>
      </c>
      <c r="B14" s="14" t="str">
        <f aca="false">IFERROR(INDEX(Tablero!$A$5:$A$104,MATCH($A14,Tablero!$J$5:$J$104,0))&amp;"","")</f>
        <v/>
      </c>
      <c r="C14" s="14" t="str">
        <f aca="false">IFERROR(INDEX(Tablero!$B$5:$B$104,MATCH($A14,Tablero!$J$5:$J$104,0))&amp;"","")</f>
        <v/>
      </c>
      <c r="D14" s="29" t="str">
        <f aca="false">IFERROR(INDEX(Tablero!$R$5:$R$104,MATCH($A14,Tablero!$J$5:$J$104,0)),"")</f>
        <v/>
      </c>
      <c r="E14" s="29" t="str">
        <f aca="false">IFERROR(INDEX(Tablero!$S$5:$S$104,MATCH($A14,Tablero!$J$5:$J$104,0)),"")</f>
        <v/>
      </c>
      <c r="F14" s="30" t="str">
        <f aca="false">IF(OR($D14="",$E14=""),"",IF(AND($D14&lt;=F$4+4,$E14&gt;=F$4),1,""))</f>
        <v/>
      </c>
      <c r="G14" s="30" t="str">
        <f aca="false">IF(OR($D14="",$E14=""),"",IF(AND($D14&lt;=G$4+4,$E14&gt;=G$4),1,""))</f>
        <v/>
      </c>
      <c r="H14" s="30" t="str">
        <f aca="false">IF(OR($D14="",$E14=""),"",IF(AND($D14&lt;=H$4+4,$E14&gt;=H$4),1,""))</f>
        <v/>
      </c>
      <c r="I14" s="30" t="str">
        <f aca="false">IF(OR($D14="",$E14=""),"",IF(AND($D14&lt;=I$4+4,$E14&gt;=I$4),1,""))</f>
        <v/>
      </c>
      <c r="J14" s="30" t="str">
        <f aca="false">IF(OR($D14="",$E14=""),"",IF(AND($D14&lt;=J$4+4,$E14&gt;=J$4),1,""))</f>
        <v/>
      </c>
      <c r="K14" s="30" t="str">
        <f aca="false">IF(OR($D14="",$E14=""),"",IF(AND($D14&lt;=K$4+4,$E14&gt;=K$4),1,""))</f>
        <v/>
      </c>
      <c r="L14" s="30" t="str">
        <f aca="false">IF(OR($D14="",$E14=""),"",IF(AND($D14&lt;=L$4+4,$E14&gt;=L$4),1,""))</f>
        <v/>
      </c>
      <c r="M14" s="30" t="str">
        <f aca="false">IF(OR($D14="",$E14=""),"",IF(AND($D14&lt;=M$4+4,$E14&gt;=M$4),1,""))</f>
        <v/>
      </c>
      <c r="N14" s="30" t="str">
        <f aca="false">IF(OR($D14="",$E14=""),"",IF(AND($D14&lt;=N$4+4,$E14&gt;=N$4),1,""))</f>
        <v/>
      </c>
      <c r="O14" s="30" t="str">
        <f aca="false">IF(OR($D14="",$E14=""),"",IF(AND($D14&lt;=O$4+4,$E14&gt;=O$4),1,""))</f>
        <v/>
      </c>
      <c r="P14" s="30" t="str">
        <f aca="false">IF(OR($D14="",$E14=""),"",IF(AND($D14&lt;=P$4+4,$E14&gt;=P$4),1,""))</f>
        <v/>
      </c>
      <c r="Q14" s="30" t="str">
        <f aca="false">IF(OR($D14="",$E14=""),"",IF(AND($D14&lt;=Q$4+4,$E14&gt;=Q$4),1,""))</f>
        <v/>
      </c>
      <c r="R14" s="30" t="str">
        <f aca="false">IF(OR($D14="",$E14=""),"",IF(AND($D14&lt;=R$4+4,$E14&gt;=R$4),1,""))</f>
        <v/>
      </c>
      <c r="S14" s="30" t="str">
        <f aca="false">IF(OR($D14="",$E14=""),"",IF(AND($D14&lt;=S$4+4,$E14&gt;=S$4),1,""))</f>
        <v/>
      </c>
      <c r="T14" s="30" t="str">
        <f aca="false">IF(OR($D14="",$E14=""),"",IF(AND($D14&lt;=T$4+4,$E14&gt;=T$4),1,""))</f>
        <v/>
      </c>
      <c r="U14" s="30" t="str">
        <f aca="false">IF(OR($D14="",$E14=""),"",IF(AND($D14&lt;=U$4+4,$E14&gt;=U$4),1,""))</f>
        <v/>
      </c>
      <c r="V14" s="30" t="str">
        <f aca="false">IF(OR($D14="",$E14=""),"",IF(AND($D14&lt;=V$4+4,$E14&gt;=V$4),1,""))</f>
        <v/>
      </c>
      <c r="W14" s="30" t="str">
        <f aca="false">IF(OR($D14="",$E14=""),"",IF(AND($D14&lt;=W$4+4,$E14&gt;=W$4),1,""))</f>
        <v/>
      </c>
      <c r="X14" s="30" t="str">
        <f aca="false">IF(OR($D14="",$E14=""),"",IF(AND($D14&lt;=X$4+4,$E14&gt;=X$4),1,""))</f>
        <v/>
      </c>
      <c r="Y14" s="30" t="str">
        <f aca="false">IF(OR($D14="",$E14=""),"",IF(AND($D14&lt;=Y$4+4,$E14&gt;=Y$4),1,""))</f>
        <v/>
      </c>
      <c r="Z14" s="30" t="str">
        <f aca="false">IF(OR($D14="",$E14=""),"",IF(AND($D14&lt;=Z$4+4,$E14&gt;=Z$4),1,""))</f>
        <v/>
      </c>
      <c r="AA14" s="30" t="str">
        <f aca="false">IF(OR($D14="",$E14=""),"",IF(AND($D14&lt;=AA$4+4,$E14&gt;=AA$4),1,""))</f>
        <v/>
      </c>
      <c r="AB14" s="30" t="str">
        <f aca="false">IF(OR($D14="",$E14=""),"",IF(AND($D14&lt;=AB$4+4,$E14&gt;=AB$4),1,""))</f>
        <v/>
      </c>
      <c r="AC14" s="30" t="str">
        <f aca="false">IF(OR($D14="",$E14=""),"",IF(AND($D14&lt;=AC$4+4,$E14&gt;=AC$4),1,""))</f>
        <v/>
      </c>
      <c r="AD14" s="30" t="str">
        <f aca="false">IF(OR($D14="",$E14=""),"",IF(AND($D14&lt;=AD$4+4,$E14&gt;=AD$4),1,""))</f>
        <v/>
      </c>
      <c r="AE14" s="30" t="str">
        <f aca="false">IF(OR($D14="",$E14=""),"",IF(AND($D14&lt;=AE$4+4,$E14&gt;=AE$4),1,""))</f>
        <v/>
      </c>
    </row>
    <row r="15" customFormat="false" ht="15" hidden="false" customHeight="false" outlineLevel="0" collapsed="false">
      <c r="A15" s="28" t="n">
        <v>9</v>
      </c>
      <c r="B15" s="14" t="str">
        <f aca="false">IFERROR(INDEX(Tablero!$A$5:$A$104,MATCH($A15,Tablero!$J$5:$J$104,0))&amp;"","")</f>
        <v/>
      </c>
      <c r="C15" s="14" t="str">
        <f aca="false">IFERROR(INDEX(Tablero!$B$5:$B$104,MATCH($A15,Tablero!$J$5:$J$104,0))&amp;"","")</f>
        <v/>
      </c>
      <c r="D15" s="29" t="str">
        <f aca="false">IFERROR(INDEX(Tablero!$R$5:$R$104,MATCH($A15,Tablero!$J$5:$J$104,0)),"")</f>
        <v/>
      </c>
      <c r="E15" s="29" t="str">
        <f aca="false">IFERROR(INDEX(Tablero!$S$5:$S$104,MATCH($A15,Tablero!$J$5:$J$104,0)),"")</f>
        <v/>
      </c>
      <c r="F15" s="30" t="str">
        <f aca="false">IF(OR($D15="",$E15=""),"",IF(AND($D15&lt;=F$4+4,$E15&gt;=F$4),1,""))</f>
        <v/>
      </c>
      <c r="G15" s="30" t="str">
        <f aca="false">IF(OR($D15="",$E15=""),"",IF(AND($D15&lt;=G$4+4,$E15&gt;=G$4),1,""))</f>
        <v/>
      </c>
      <c r="H15" s="30" t="str">
        <f aca="false">IF(OR($D15="",$E15=""),"",IF(AND($D15&lt;=H$4+4,$E15&gt;=H$4),1,""))</f>
        <v/>
      </c>
      <c r="I15" s="30" t="str">
        <f aca="false">IF(OR($D15="",$E15=""),"",IF(AND($D15&lt;=I$4+4,$E15&gt;=I$4),1,""))</f>
        <v/>
      </c>
      <c r="J15" s="30" t="str">
        <f aca="false">IF(OR($D15="",$E15=""),"",IF(AND($D15&lt;=J$4+4,$E15&gt;=J$4),1,""))</f>
        <v/>
      </c>
      <c r="K15" s="30" t="str">
        <f aca="false">IF(OR($D15="",$E15=""),"",IF(AND($D15&lt;=K$4+4,$E15&gt;=K$4),1,""))</f>
        <v/>
      </c>
      <c r="L15" s="30" t="str">
        <f aca="false">IF(OR($D15="",$E15=""),"",IF(AND($D15&lt;=L$4+4,$E15&gt;=L$4),1,""))</f>
        <v/>
      </c>
      <c r="M15" s="30" t="str">
        <f aca="false">IF(OR($D15="",$E15=""),"",IF(AND($D15&lt;=M$4+4,$E15&gt;=M$4),1,""))</f>
        <v/>
      </c>
      <c r="N15" s="30" t="str">
        <f aca="false">IF(OR($D15="",$E15=""),"",IF(AND($D15&lt;=N$4+4,$E15&gt;=N$4),1,""))</f>
        <v/>
      </c>
      <c r="O15" s="30" t="str">
        <f aca="false">IF(OR($D15="",$E15=""),"",IF(AND($D15&lt;=O$4+4,$E15&gt;=O$4),1,""))</f>
        <v/>
      </c>
      <c r="P15" s="30" t="str">
        <f aca="false">IF(OR($D15="",$E15=""),"",IF(AND($D15&lt;=P$4+4,$E15&gt;=P$4),1,""))</f>
        <v/>
      </c>
      <c r="Q15" s="30" t="str">
        <f aca="false">IF(OR($D15="",$E15=""),"",IF(AND($D15&lt;=Q$4+4,$E15&gt;=Q$4),1,""))</f>
        <v/>
      </c>
      <c r="R15" s="30" t="str">
        <f aca="false">IF(OR($D15="",$E15=""),"",IF(AND($D15&lt;=R$4+4,$E15&gt;=R$4),1,""))</f>
        <v/>
      </c>
      <c r="S15" s="30" t="str">
        <f aca="false">IF(OR($D15="",$E15=""),"",IF(AND($D15&lt;=S$4+4,$E15&gt;=S$4),1,""))</f>
        <v/>
      </c>
      <c r="T15" s="30" t="str">
        <f aca="false">IF(OR($D15="",$E15=""),"",IF(AND($D15&lt;=T$4+4,$E15&gt;=T$4),1,""))</f>
        <v/>
      </c>
      <c r="U15" s="30" t="str">
        <f aca="false">IF(OR($D15="",$E15=""),"",IF(AND($D15&lt;=U$4+4,$E15&gt;=U$4),1,""))</f>
        <v/>
      </c>
      <c r="V15" s="30" t="str">
        <f aca="false">IF(OR($D15="",$E15=""),"",IF(AND($D15&lt;=V$4+4,$E15&gt;=V$4),1,""))</f>
        <v/>
      </c>
      <c r="W15" s="30" t="str">
        <f aca="false">IF(OR($D15="",$E15=""),"",IF(AND($D15&lt;=W$4+4,$E15&gt;=W$4),1,""))</f>
        <v/>
      </c>
      <c r="X15" s="30" t="str">
        <f aca="false">IF(OR($D15="",$E15=""),"",IF(AND($D15&lt;=X$4+4,$E15&gt;=X$4),1,""))</f>
        <v/>
      </c>
      <c r="Y15" s="30" t="str">
        <f aca="false">IF(OR($D15="",$E15=""),"",IF(AND($D15&lt;=Y$4+4,$E15&gt;=Y$4),1,""))</f>
        <v/>
      </c>
      <c r="Z15" s="30" t="str">
        <f aca="false">IF(OR($D15="",$E15=""),"",IF(AND($D15&lt;=Z$4+4,$E15&gt;=Z$4),1,""))</f>
        <v/>
      </c>
      <c r="AA15" s="30" t="str">
        <f aca="false">IF(OR($D15="",$E15=""),"",IF(AND($D15&lt;=AA$4+4,$E15&gt;=AA$4),1,""))</f>
        <v/>
      </c>
      <c r="AB15" s="30" t="str">
        <f aca="false">IF(OR($D15="",$E15=""),"",IF(AND($D15&lt;=AB$4+4,$E15&gt;=AB$4),1,""))</f>
        <v/>
      </c>
      <c r="AC15" s="30" t="str">
        <f aca="false">IF(OR($D15="",$E15=""),"",IF(AND($D15&lt;=AC$4+4,$E15&gt;=AC$4),1,""))</f>
        <v/>
      </c>
      <c r="AD15" s="30" t="str">
        <f aca="false">IF(OR($D15="",$E15=""),"",IF(AND($D15&lt;=AD$4+4,$E15&gt;=AD$4),1,""))</f>
        <v/>
      </c>
      <c r="AE15" s="30" t="str">
        <f aca="false">IF(OR($D15="",$E15=""),"",IF(AND($D15&lt;=AE$4+4,$E15&gt;=AE$4),1,""))</f>
        <v/>
      </c>
    </row>
    <row r="16" customFormat="false" ht="15" hidden="false" customHeight="false" outlineLevel="0" collapsed="false">
      <c r="A16" s="28" t="n">
        <v>10</v>
      </c>
      <c r="B16" s="14" t="str">
        <f aca="false">IFERROR(INDEX(Tablero!$A$5:$A$104,MATCH($A16,Tablero!$J$5:$J$104,0))&amp;"","")</f>
        <v/>
      </c>
      <c r="C16" s="14" t="str">
        <f aca="false">IFERROR(INDEX(Tablero!$B$5:$B$104,MATCH($A16,Tablero!$J$5:$J$104,0))&amp;"","")</f>
        <v/>
      </c>
      <c r="D16" s="29" t="str">
        <f aca="false">IFERROR(INDEX(Tablero!$R$5:$R$104,MATCH($A16,Tablero!$J$5:$J$104,0)),"")</f>
        <v/>
      </c>
      <c r="E16" s="29" t="str">
        <f aca="false">IFERROR(INDEX(Tablero!$S$5:$S$104,MATCH($A16,Tablero!$J$5:$J$104,0)),"")</f>
        <v/>
      </c>
      <c r="F16" s="30" t="str">
        <f aca="false">IF(OR($D16="",$E16=""),"",IF(AND($D16&lt;=F$4+4,$E16&gt;=F$4),1,""))</f>
        <v/>
      </c>
      <c r="G16" s="30" t="str">
        <f aca="false">IF(OR($D16="",$E16=""),"",IF(AND($D16&lt;=G$4+4,$E16&gt;=G$4),1,""))</f>
        <v/>
      </c>
      <c r="H16" s="30" t="str">
        <f aca="false">IF(OR($D16="",$E16=""),"",IF(AND($D16&lt;=H$4+4,$E16&gt;=H$4),1,""))</f>
        <v/>
      </c>
      <c r="I16" s="30" t="str">
        <f aca="false">IF(OR($D16="",$E16=""),"",IF(AND($D16&lt;=I$4+4,$E16&gt;=I$4),1,""))</f>
        <v/>
      </c>
      <c r="J16" s="30" t="str">
        <f aca="false">IF(OR($D16="",$E16=""),"",IF(AND($D16&lt;=J$4+4,$E16&gt;=J$4),1,""))</f>
        <v/>
      </c>
      <c r="K16" s="30" t="str">
        <f aca="false">IF(OR($D16="",$E16=""),"",IF(AND($D16&lt;=K$4+4,$E16&gt;=K$4),1,""))</f>
        <v/>
      </c>
      <c r="L16" s="30" t="str">
        <f aca="false">IF(OR($D16="",$E16=""),"",IF(AND($D16&lt;=L$4+4,$E16&gt;=L$4),1,""))</f>
        <v/>
      </c>
      <c r="M16" s="30" t="str">
        <f aca="false">IF(OR($D16="",$E16=""),"",IF(AND($D16&lt;=M$4+4,$E16&gt;=M$4),1,""))</f>
        <v/>
      </c>
      <c r="N16" s="30" t="str">
        <f aca="false">IF(OR($D16="",$E16=""),"",IF(AND($D16&lt;=N$4+4,$E16&gt;=N$4),1,""))</f>
        <v/>
      </c>
      <c r="O16" s="30" t="str">
        <f aca="false">IF(OR($D16="",$E16=""),"",IF(AND($D16&lt;=O$4+4,$E16&gt;=O$4),1,""))</f>
        <v/>
      </c>
      <c r="P16" s="30" t="str">
        <f aca="false">IF(OR($D16="",$E16=""),"",IF(AND($D16&lt;=P$4+4,$E16&gt;=P$4),1,""))</f>
        <v/>
      </c>
      <c r="Q16" s="30" t="str">
        <f aca="false">IF(OR($D16="",$E16=""),"",IF(AND($D16&lt;=Q$4+4,$E16&gt;=Q$4),1,""))</f>
        <v/>
      </c>
      <c r="R16" s="30" t="str">
        <f aca="false">IF(OR($D16="",$E16=""),"",IF(AND($D16&lt;=R$4+4,$E16&gt;=R$4),1,""))</f>
        <v/>
      </c>
      <c r="S16" s="30" t="str">
        <f aca="false">IF(OR($D16="",$E16=""),"",IF(AND($D16&lt;=S$4+4,$E16&gt;=S$4),1,""))</f>
        <v/>
      </c>
      <c r="T16" s="30" t="str">
        <f aca="false">IF(OR($D16="",$E16=""),"",IF(AND($D16&lt;=T$4+4,$E16&gt;=T$4),1,""))</f>
        <v/>
      </c>
      <c r="U16" s="30" t="str">
        <f aca="false">IF(OR($D16="",$E16=""),"",IF(AND($D16&lt;=U$4+4,$E16&gt;=U$4),1,""))</f>
        <v/>
      </c>
      <c r="V16" s="30" t="str">
        <f aca="false">IF(OR($D16="",$E16=""),"",IF(AND($D16&lt;=V$4+4,$E16&gt;=V$4),1,""))</f>
        <v/>
      </c>
      <c r="W16" s="30" t="str">
        <f aca="false">IF(OR($D16="",$E16=""),"",IF(AND($D16&lt;=W$4+4,$E16&gt;=W$4),1,""))</f>
        <v/>
      </c>
      <c r="X16" s="30" t="str">
        <f aca="false">IF(OR($D16="",$E16=""),"",IF(AND($D16&lt;=X$4+4,$E16&gt;=X$4),1,""))</f>
        <v/>
      </c>
      <c r="Y16" s="30" t="str">
        <f aca="false">IF(OR($D16="",$E16=""),"",IF(AND($D16&lt;=Y$4+4,$E16&gt;=Y$4),1,""))</f>
        <v/>
      </c>
      <c r="Z16" s="30" t="str">
        <f aca="false">IF(OR($D16="",$E16=""),"",IF(AND($D16&lt;=Z$4+4,$E16&gt;=Z$4),1,""))</f>
        <v/>
      </c>
      <c r="AA16" s="30" t="str">
        <f aca="false">IF(OR($D16="",$E16=""),"",IF(AND($D16&lt;=AA$4+4,$E16&gt;=AA$4),1,""))</f>
        <v/>
      </c>
      <c r="AB16" s="30" t="str">
        <f aca="false">IF(OR($D16="",$E16=""),"",IF(AND($D16&lt;=AB$4+4,$E16&gt;=AB$4),1,""))</f>
        <v/>
      </c>
      <c r="AC16" s="30" t="str">
        <f aca="false">IF(OR($D16="",$E16=""),"",IF(AND($D16&lt;=AC$4+4,$E16&gt;=AC$4),1,""))</f>
        <v/>
      </c>
      <c r="AD16" s="30" t="str">
        <f aca="false">IF(OR($D16="",$E16=""),"",IF(AND($D16&lt;=AD$4+4,$E16&gt;=AD$4),1,""))</f>
        <v/>
      </c>
      <c r="AE16" s="30" t="str">
        <f aca="false">IF(OR($D16="",$E16=""),"",IF(AND($D16&lt;=AE$4+4,$E16&gt;=AE$4),1,""))</f>
        <v/>
      </c>
    </row>
    <row r="17" customFormat="false" ht="15" hidden="false" customHeight="false" outlineLevel="0" collapsed="false">
      <c r="A17" s="28" t="n">
        <v>11</v>
      </c>
      <c r="B17" s="14" t="str">
        <f aca="false">IFERROR(INDEX(Tablero!$A$5:$A$104,MATCH($A17,Tablero!$J$5:$J$104,0))&amp;"","")</f>
        <v/>
      </c>
      <c r="C17" s="14" t="str">
        <f aca="false">IFERROR(INDEX(Tablero!$B$5:$B$104,MATCH($A17,Tablero!$J$5:$J$104,0))&amp;"","")</f>
        <v/>
      </c>
      <c r="D17" s="29" t="str">
        <f aca="false">IFERROR(INDEX(Tablero!$R$5:$R$104,MATCH($A17,Tablero!$J$5:$J$104,0)),"")</f>
        <v/>
      </c>
      <c r="E17" s="29" t="str">
        <f aca="false">IFERROR(INDEX(Tablero!$S$5:$S$104,MATCH($A17,Tablero!$J$5:$J$104,0)),"")</f>
        <v/>
      </c>
      <c r="F17" s="30" t="str">
        <f aca="false">IF(OR($D17="",$E17=""),"",IF(AND($D17&lt;=F$4+4,$E17&gt;=F$4),1,""))</f>
        <v/>
      </c>
      <c r="G17" s="30" t="str">
        <f aca="false">IF(OR($D17="",$E17=""),"",IF(AND($D17&lt;=G$4+4,$E17&gt;=G$4),1,""))</f>
        <v/>
      </c>
      <c r="H17" s="30" t="str">
        <f aca="false">IF(OR($D17="",$E17=""),"",IF(AND($D17&lt;=H$4+4,$E17&gt;=H$4),1,""))</f>
        <v/>
      </c>
      <c r="I17" s="30" t="str">
        <f aca="false">IF(OR($D17="",$E17=""),"",IF(AND($D17&lt;=I$4+4,$E17&gt;=I$4),1,""))</f>
        <v/>
      </c>
      <c r="J17" s="30" t="str">
        <f aca="false">IF(OR($D17="",$E17=""),"",IF(AND($D17&lt;=J$4+4,$E17&gt;=J$4),1,""))</f>
        <v/>
      </c>
      <c r="K17" s="30" t="str">
        <f aca="false">IF(OR($D17="",$E17=""),"",IF(AND($D17&lt;=K$4+4,$E17&gt;=K$4),1,""))</f>
        <v/>
      </c>
      <c r="L17" s="30" t="str">
        <f aca="false">IF(OR($D17="",$E17=""),"",IF(AND($D17&lt;=L$4+4,$E17&gt;=L$4),1,""))</f>
        <v/>
      </c>
      <c r="M17" s="30" t="str">
        <f aca="false">IF(OR($D17="",$E17=""),"",IF(AND($D17&lt;=M$4+4,$E17&gt;=M$4),1,""))</f>
        <v/>
      </c>
      <c r="N17" s="30" t="str">
        <f aca="false">IF(OR($D17="",$E17=""),"",IF(AND($D17&lt;=N$4+4,$E17&gt;=N$4),1,""))</f>
        <v/>
      </c>
      <c r="O17" s="30" t="str">
        <f aca="false">IF(OR($D17="",$E17=""),"",IF(AND($D17&lt;=O$4+4,$E17&gt;=O$4),1,""))</f>
        <v/>
      </c>
      <c r="P17" s="30" t="str">
        <f aca="false">IF(OR($D17="",$E17=""),"",IF(AND($D17&lt;=P$4+4,$E17&gt;=P$4),1,""))</f>
        <v/>
      </c>
      <c r="Q17" s="30" t="str">
        <f aca="false">IF(OR($D17="",$E17=""),"",IF(AND($D17&lt;=Q$4+4,$E17&gt;=Q$4),1,""))</f>
        <v/>
      </c>
      <c r="R17" s="30" t="str">
        <f aca="false">IF(OR($D17="",$E17=""),"",IF(AND($D17&lt;=R$4+4,$E17&gt;=R$4),1,""))</f>
        <v/>
      </c>
      <c r="S17" s="30" t="str">
        <f aca="false">IF(OR($D17="",$E17=""),"",IF(AND($D17&lt;=S$4+4,$E17&gt;=S$4),1,""))</f>
        <v/>
      </c>
      <c r="T17" s="30" t="str">
        <f aca="false">IF(OR($D17="",$E17=""),"",IF(AND($D17&lt;=T$4+4,$E17&gt;=T$4),1,""))</f>
        <v/>
      </c>
      <c r="U17" s="30" t="str">
        <f aca="false">IF(OR($D17="",$E17=""),"",IF(AND($D17&lt;=U$4+4,$E17&gt;=U$4),1,""))</f>
        <v/>
      </c>
      <c r="V17" s="30" t="str">
        <f aca="false">IF(OR($D17="",$E17=""),"",IF(AND($D17&lt;=V$4+4,$E17&gt;=V$4),1,""))</f>
        <v/>
      </c>
      <c r="W17" s="30" t="str">
        <f aca="false">IF(OR($D17="",$E17=""),"",IF(AND($D17&lt;=W$4+4,$E17&gt;=W$4),1,""))</f>
        <v/>
      </c>
      <c r="X17" s="30" t="str">
        <f aca="false">IF(OR($D17="",$E17=""),"",IF(AND($D17&lt;=X$4+4,$E17&gt;=X$4),1,""))</f>
        <v/>
      </c>
      <c r="Y17" s="30" t="str">
        <f aca="false">IF(OR($D17="",$E17=""),"",IF(AND($D17&lt;=Y$4+4,$E17&gt;=Y$4),1,""))</f>
        <v/>
      </c>
      <c r="Z17" s="30" t="str">
        <f aca="false">IF(OR($D17="",$E17=""),"",IF(AND($D17&lt;=Z$4+4,$E17&gt;=Z$4),1,""))</f>
        <v/>
      </c>
      <c r="AA17" s="30" t="str">
        <f aca="false">IF(OR($D17="",$E17=""),"",IF(AND($D17&lt;=AA$4+4,$E17&gt;=AA$4),1,""))</f>
        <v/>
      </c>
      <c r="AB17" s="30" t="str">
        <f aca="false">IF(OR($D17="",$E17=""),"",IF(AND($D17&lt;=AB$4+4,$E17&gt;=AB$4),1,""))</f>
        <v/>
      </c>
      <c r="AC17" s="30" t="str">
        <f aca="false">IF(OR($D17="",$E17=""),"",IF(AND($D17&lt;=AC$4+4,$E17&gt;=AC$4),1,""))</f>
        <v/>
      </c>
      <c r="AD17" s="30" t="str">
        <f aca="false">IF(OR($D17="",$E17=""),"",IF(AND($D17&lt;=AD$4+4,$E17&gt;=AD$4),1,""))</f>
        <v/>
      </c>
      <c r="AE17" s="30" t="str">
        <f aca="false">IF(OR($D17="",$E17=""),"",IF(AND($D17&lt;=AE$4+4,$E17&gt;=AE$4),1,""))</f>
        <v/>
      </c>
    </row>
    <row r="18" customFormat="false" ht="15" hidden="false" customHeight="false" outlineLevel="0" collapsed="false">
      <c r="A18" s="28" t="n">
        <v>12</v>
      </c>
      <c r="B18" s="14" t="str">
        <f aca="false">IFERROR(INDEX(Tablero!$A$5:$A$104,MATCH($A18,Tablero!$J$5:$J$104,0))&amp;"","")</f>
        <v/>
      </c>
      <c r="C18" s="14" t="str">
        <f aca="false">IFERROR(INDEX(Tablero!$B$5:$B$104,MATCH($A18,Tablero!$J$5:$J$104,0))&amp;"","")</f>
        <v/>
      </c>
      <c r="D18" s="29" t="str">
        <f aca="false">IFERROR(INDEX(Tablero!$R$5:$R$104,MATCH($A18,Tablero!$J$5:$J$104,0)),"")</f>
        <v/>
      </c>
      <c r="E18" s="29" t="str">
        <f aca="false">IFERROR(INDEX(Tablero!$S$5:$S$104,MATCH($A18,Tablero!$J$5:$J$104,0)),"")</f>
        <v/>
      </c>
      <c r="F18" s="30" t="str">
        <f aca="false">IF(OR($D18="",$E18=""),"",IF(AND($D18&lt;=F$4+4,$E18&gt;=F$4),1,""))</f>
        <v/>
      </c>
      <c r="G18" s="30" t="str">
        <f aca="false">IF(OR($D18="",$E18=""),"",IF(AND($D18&lt;=G$4+4,$E18&gt;=G$4),1,""))</f>
        <v/>
      </c>
      <c r="H18" s="30" t="str">
        <f aca="false">IF(OR($D18="",$E18=""),"",IF(AND($D18&lt;=H$4+4,$E18&gt;=H$4),1,""))</f>
        <v/>
      </c>
      <c r="I18" s="30" t="str">
        <f aca="false">IF(OR($D18="",$E18=""),"",IF(AND($D18&lt;=I$4+4,$E18&gt;=I$4),1,""))</f>
        <v/>
      </c>
      <c r="J18" s="30" t="str">
        <f aca="false">IF(OR($D18="",$E18=""),"",IF(AND($D18&lt;=J$4+4,$E18&gt;=J$4),1,""))</f>
        <v/>
      </c>
      <c r="K18" s="30" t="str">
        <f aca="false">IF(OR($D18="",$E18=""),"",IF(AND($D18&lt;=K$4+4,$E18&gt;=K$4),1,""))</f>
        <v/>
      </c>
      <c r="L18" s="30" t="str">
        <f aca="false">IF(OR($D18="",$E18=""),"",IF(AND($D18&lt;=L$4+4,$E18&gt;=L$4),1,""))</f>
        <v/>
      </c>
      <c r="M18" s="30" t="str">
        <f aca="false">IF(OR($D18="",$E18=""),"",IF(AND($D18&lt;=M$4+4,$E18&gt;=M$4),1,""))</f>
        <v/>
      </c>
      <c r="N18" s="30" t="str">
        <f aca="false">IF(OR($D18="",$E18=""),"",IF(AND($D18&lt;=N$4+4,$E18&gt;=N$4),1,""))</f>
        <v/>
      </c>
      <c r="O18" s="30" t="str">
        <f aca="false">IF(OR($D18="",$E18=""),"",IF(AND($D18&lt;=O$4+4,$E18&gt;=O$4),1,""))</f>
        <v/>
      </c>
      <c r="P18" s="30" t="str">
        <f aca="false">IF(OR($D18="",$E18=""),"",IF(AND($D18&lt;=P$4+4,$E18&gt;=P$4),1,""))</f>
        <v/>
      </c>
      <c r="Q18" s="30" t="str">
        <f aca="false">IF(OR($D18="",$E18=""),"",IF(AND($D18&lt;=Q$4+4,$E18&gt;=Q$4),1,""))</f>
        <v/>
      </c>
      <c r="R18" s="30" t="str">
        <f aca="false">IF(OR($D18="",$E18=""),"",IF(AND($D18&lt;=R$4+4,$E18&gt;=R$4),1,""))</f>
        <v/>
      </c>
      <c r="S18" s="30" t="str">
        <f aca="false">IF(OR($D18="",$E18=""),"",IF(AND($D18&lt;=S$4+4,$E18&gt;=S$4),1,""))</f>
        <v/>
      </c>
      <c r="T18" s="30" t="str">
        <f aca="false">IF(OR($D18="",$E18=""),"",IF(AND($D18&lt;=T$4+4,$E18&gt;=T$4),1,""))</f>
        <v/>
      </c>
      <c r="U18" s="30" t="str">
        <f aca="false">IF(OR($D18="",$E18=""),"",IF(AND($D18&lt;=U$4+4,$E18&gt;=U$4),1,""))</f>
        <v/>
      </c>
      <c r="V18" s="30" t="str">
        <f aca="false">IF(OR($D18="",$E18=""),"",IF(AND($D18&lt;=V$4+4,$E18&gt;=V$4),1,""))</f>
        <v/>
      </c>
      <c r="W18" s="30" t="str">
        <f aca="false">IF(OR($D18="",$E18=""),"",IF(AND($D18&lt;=W$4+4,$E18&gt;=W$4),1,""))</f>
        <v/>
      </c>
      <c r="X18" s="30" t="str">
        <f aca="false">IF(OR($D18="",$E18=""),"",IF(AND($D18&lt;=X$4+4,$E18&gt;=X$4),1,""))</f>
        <v/>
      </c>
      <c r="Y18" s="30" t="str">
        <f aca="false">IF(OR($D18="",$E18=""),"",IF(AND($D18&lt;=Y$4+4,$E18&gt;=Y$4),1,""))</f>
        <v/>
      </c>
      <c r="Z18" s="30" t="str">
        <f aca="false">IF(OR($D18="",$E18=""),"",IF(AND($D18&lt;=Z$4+4,$E18&gt;=Z$4),1,""))</f>
        <v/>
      </c>
      <c r="AA18" s="30" t="str">
        <f aca="false">IF(OR($D18="",$E18=""),"",IF(AND($D18&lt;=AA$4+4,$E18&gt;=AA$4),1,""))</f>
        <v/>
      </c>
      <c r="AB18" s="30" t="str">
        <f aca="false">IF(OR($D18="",$E18=""),"",IF(AND($D18&lt;=AB$4+4,$E18&gt;=AB$4),1,""))</f>
        <v/>
      </c>
      <c r="AC18" s="30" t="str">
        <f aca="false">IF(OR($D18="",$E18=""),"",IF(AND($D18&lt;=AC$4+4,$E18&gt;=AC$4),1,""))</f>
        <v/>
      </c>
      <c r="AD18" s="30" t="str">
        <f aca="false">IF(OR($D18="",$E18=""),"",IF(AND($D18&lt;=AD$4+4,$E18&gt;=AD$4),1,""))</f>
        <v/>
      </c>
      <c r="AE18" s="30" t="str">
        <f aca="false">IF(OR($D18="",$E18=""),"",IF(AND($D18&lt;=AE$4+4,$E18&gt;=AE$4),1,""))</f>
        <v/>
      </c>
    </row>
    <row r="19" customFormat="false" ht="15" hidden="false" customHeight="false" outlineLevel="0" collapsed="false">
      <c r="A19" s="28" t="n">
        <v>13</v>
      </c>
      <c r="B19" s="14" t="str">
        <f aca="false">IFERROR(INDEX(Tablero!$A$5:$A$104,MATCH($A19,Tablero!$J$5:$J$104,0))&amp;"","")</f>
        <v/>
      </c>
      <c r="C19" s="14" t="str">
        <f aca="false">IFERROR(INDEX(Tablero!$B$5:$B$104,MATCH($A19,Tablero!$J$5:$J$104,0))&amp;"","")</f>
        <v/>
      </c>
      <c r="D19" s="29" t="str">
        <f aca="false">IFERROR(INDEX(Tablero!$R$5:$R$104,MATCH($A19,Tablero!$J$5:$J$104,0)),"")</f>
        <v/>
      </c>
      <c r="E19" s="29" t="str">
        <f aca="false">IFERROR(INDEX(Tablero!$S$5:$S$104,MATCH($A19,Tablero!$J$5:$J$104,0)),"")</f>
        <v/>
      </c>
      <c r="F19" s="30" t="str">
        <f aca="false">IF(OR($D19="",$E19=""),"",IF(AND($D19&lt;=F$4+4,$E19&gt;=F$4),1,""))</f>
        <v/>
      </c>
      <c r="G19" s="30" t="str">
        <f aca="false">IF(OR($D19="",$E19=""),"",IF(AND($D19&lt;=G$4+4,$E19&gt;=G$4),1,""))</f>
        <v/>
      </c>
      <c r="H19" s="30" t="str">
        <f aca="false">IF(OR($D19="",$E19=""),"",IF(AND($D19&lt;=H$4+4,$E19&gt;=H$4),1,""))</f>
        <v/>
      </c>
      <c r="I19" s="30" t="str">
        <f aca="false">IF(OR($D19="",$E19=""),"",IF(AND($D19&lt;=I$4+4,$E19&gt;=I$4),1,""))</f>
        <v/>
      </c>
      <c r="J19" s="30" t="str">
        <f aca="false">IF(OR($D19="",$E19=""),"",IF(AND($D19&lt;=J$4+4,$E19&gt;=J$4),1,""))</f>
        <v/>
      </c>
      <c r="K19" s="30" t="str">
        <f aca="false">IF(OR($D19="",$E19=""),"",IF(AND($D19&lt;=K$4+4,$E19&gt;=K$4),1,""))</f>
        <v/>
      </c>
      <c r="L19" s="30" t="str">
        <f aca="false">IF(OR($D19="",$E19=""),"",IF(AND($D19&lt;=L$4+4,$E19&gt;=L$4),1,""))</f>
        <v/>
      </c>
      <c r="M19" s="30" t="str">
        <f aca="false">IF(OR($D19="",$E19=""),"",IF(AND($D19&lt;=M$4+4,$E19&gt;=M$4),1,""))</f>
        <v/>
      </c>
      <c r="N19" s="30" t="str">
        <f aca="false">IF(OR($D19="",$E19=""),"",IF(AND($D19&lt;=N$4+4,$E19&gt;=N$4),1,""))</f>
        <v/>
      </c>
      <c r="O19" s="30" t="str">
        <f aca="false">IF(OR($D19="",$E19=""),"",IF(AND($D19&lt;=O$4+4,$E19&gt;=O$4),1,""))</f>
        <v/>
      </c>
      <c r="P19" s="30" t="str">
        <f aca="false">IF(OR($D19="",$E19=""),"",IF(AND($D19&lt;=P$4+4,$E19&gt;=P$4),1,""))</f>
        <v/>
      </c>
      <c r="Q19" s="30" t="str">
        <f aca="false">IF(OR($D19="",$E19=""),"",IF(AND($D19&lt;=Q$4+4,$E19&gt;=Q$4),1,""))</f>
        <v/>
      </c>
      <c r="R19" s="30" t="str">
        <f aca="false">IF(OR($D19="",$E19=""),"",IF(AND($D19&lt;=R$4+4,$E19&gt;=R$4),1,""))</f>
        <v/>
      </c>
      <c r="S19" s="30" t="str">
        <f aca="false">IF(OR($D19="",$E19=""),"",IF(AND($D19&lt;=S$4+4,$E19&gt;=S$4),1,""))</f>
        <v/>
      </c>
      <c r="T19" s="30" t="str">
        <f aca="false">IF(OR($D19="",$E19=""),"",IF(AND($D19&lt;=T$4+4,$E19&gt;=T$4),1,""))</f>
        <v/>
      </c>
      <c r="U19" s="30" t="str">
        <f aca="false">IF(OR($D19="",$E19=""),"",IF(AND($D19&lt;=U$4+4,$E19&gt;=U$4),1,""))</f>
        <v/>
      </c>
      <c r="V19" s="30" t="str">
        <f aca="false">IF(OR($D19="",$E19=""),"",IF(AND($D19&lt;=V$4+4,$E19&gt;=V$4),1,""))</f>
        <v/>
      </c>
      <c r="W19" s="30" t="str">
        <f aca="false">IF(OR($D19="",$E19=""),"",IF(AND($D19&lt;=W$4+4,$E19&gt;=W$4),1,""))</f>
        <v/>
      </c>
      <c r="X19" s="30" t="str">
        <f aca="false">IF(OR($D19="",$E19=""),"",IF(AND($D19&lt;=X$4+4,$E19&gt;=X$4),1,""))</f>
        <v/>
      </c>
      <c r="Y19" s="30" t="str">
        <f aca="false">IF(OR($D19="",$E19=""),"",IF(AND($D19&lt;=Y$4+4,$E19&gt;=Y$4),1,""))</f>
        <v/>
      </c>
      <c r="Z19" s="30" t="str">
        <f aca="false">IF(OR($D19="",$E19=""),"",IF(AND($D19&lt;=Z$4+4,$E19&gt;=Z$4),1,""))</f>
        <v/>
      </c>
      <c r="AA19" s="30" t="str">
        <f aca="false">IF(OR($D19="",$E19=""),"",IF(AND($D19&lt;=AA$4+4,$E19&gt;=AA$4),1,""))</f>
        <v/>
      </c>
      <c r="AB19" s="30" t="str">
        <f aca="false">IF(OR($D19="",$E19=""),"",IF(AND($D19&lt;=AB$4+4,$E19&gt;=AB$4),1,""))</f>
        <v/>
      </c>
      <c r="AC19" s="30" t="str">
        <f aca="false">IF(OR($D19="",$E19=""),"",IF(AND($D19&lt;=AC$4+4,$E19&gt;=AC$4),1,""))</f>
        <v/>
      </c>
      <c r="AD19" s="30" t="str">
        <f aca="false">IF(OR($D19="",$E19=""),"",IF(AND($D19&lt;=AD$4+4,$E19&gt;=AD$4),1,""))</f>
        <v/>
      </c>
      <c r="AE19" s="30" t="str">
        <f aca="false">IF(OR($D19="",$E19=""),"",IF(AND($D19&lt;=AE$4+4,$E19&gt;=AE$4),1,""))</f>
        <v/>
      </c>
    </row>
    <row r="20" customFormat="false" ht="15" hidden="false" customHeight="false" outlineLevel="0" collapsed="false">
      <c r="A20" s="28" t="n">
        <v>14</v>
      </c>
      <c r="B20" s="14" t="str">
        <f aca="false">IFERROR(INDEX(Tablero!$A$5:$A$104,MATCH($A20,Tablero!$J$5:$J$104,0))&amp;"","")</f>
        <v/>
      </c>
      <c r="C20" s="14" t="str">
        <f aca="false">IFERROR(INDEX(Tablero!$B$5:$B$104,MATCH($A20,Tablero!$J$5:$J$104,0))&amp;"","")</f>
        <v/>
      </c>
      <c r="D20" s="29" t="str">
        <f aca="false">IFERROR(INDEX(Tablero!$R$5:$R$104,MATCH($A20,Tablero!$J$5:$J$104,0)),"")</f>
        <v/>
      </c>
      <c r="E20" s="29" t="str">
        <f aca="false">IFERROR(INDEX(Tablero!$S$5:$S$104,MATCH($A20,Tablero!$J$5:$J$104,0)),"")</f>
        <v/>
      </c>
      <c r="F20" s="30" t="str">
        <f aca="false">IF(OR($D20="",$E20=""),"",IF(AND($D20&lt;=F$4+4,$E20&gt;=F$4),1,""))</f>
        <v/>
      </c>
      <c r="G20" s="30" t="str">
        <f aca="false">IF(OR($D20="",$E20=""),"",IF(AND($D20&lt;=G$4+4,$E20&gt;=G$4),1,""))</f>
        <v/>
      </c>
      <c r="H20" s="30" t="str">
        <f aca="false">IF(OR($D20="",$E20=""),"",IF(AND($D20&lt;=H$4+4,$E20&gt;=H$4),1,""))</f>
        <v/>
      </c>
      <c r="I20" s="30" t="str">
        <f aca="false">IF(OR($D20="",$E20=""),"",IF(AND($D20&lt;=I$4+4,$E20&gt;=I$4),1,""))</f>
        <v/>
      </c>
      <c r="J20" s="30" t="str">
        <f aca="false">IF(OR($D20="",$E20=""),"",IF(AND($D20&lt;=J$4+4,$E20&gt;=J$4),1,""))</f>
        <v/>
      </c>
      <c r="K20" s="30" t="str">
        <f aca="false">IF(OR($D20="",$E20=""),"",IF(AND($D20&lt;=K$4+4,$E20&gt;=K$4),1,""))</f>
        <v/>
      </c>
      <c r="L20" s="30" t="str">
        <f aca="false">IF(OR($D20="",$E20=""),"",IF(AND($D20&lt;=L$4+4,$E20&gt;=L$4),1,""))</f>
        <v/>
      </c>
      <c r="M20" s="30" t="str">
        <f aca="false">IF(OR($D20="",$E20=""),"",IF(AND($D20&lt;=M$4+4,$E20&gt;=M$4),1,""))</f>
        <v/>
      </c>
      <c r="N20" s="30" t="str">
        <f aca="false">IF(OR($D20="",$E20=""),"",IF(AND($D20&lt;=N$4+4,$E20&gt;=N$4),1,""))</f>
        <v/>
      </c>
      <c r="O20" s="30" t="str">
        <f aca="false">IF(OR($D20="",$E20=""),"",IF(AND($D20&lt;=O$4+4,$E20&gt;=O$4),1,""))</f>
        <v/>
      </c>
      <c r="P20" s="30" t="str">
        <f aca="false">IF(OR($D20="",$E20=""),"",IF(AND($D20&lt;=P$4+4,$E20&gt;=P$4),1,""))</f>
        <v/>
      </c>
      <c r="Q20" s="30" t="str">
        <f aca="false">IF(OR($D20="",$E20=""),"",IF(AND($D20&lt;=Q$4+4,$E20&gt;=Q$4),1,""))</f>
        <v/>
      </c>
      <c r="R20" s="30" t="str">
        <f aca="false">IF(OR($D20="",$E20=""),"",IF(AND($D20&lt;=R$4+4,$E20&gt;=R$4),1,""))</f>
        <v/>
      </c>
      <c r="S20" s="30" t="str">
        <f aca="false">IF(OR($D20="",$E20=""),"",IF(AND($D20&lt;=S$4+4,$E20&gt;=S$4),1,""))</f>
        <v/>
      </c>
      <c r="T20" s="30" t="str">
        <f aca="false">IF(OR($D20="",$E20=""),"",IF(AND($D20&lt;=T$4+4,$E20&gt;=T$4),1,""))</f>
        <v/>
      </c>
      <c r="U20" s="30" t="str">
        <f aca="false">IF(OR($D20="",$E20=""),"",IF(AND($D20&lt;=U$4+4,$E20&gt;=U$4),1,""))</f>
        <v/>
      </c>
      <c r="V20" s="30" t="str">
        <f aca="false">IF(OR($D20="",$E20=""),"",IF(AND($D20&lt;=V$4+4,$E20&gt;=V$4),1,""))</f>
        <v/>
      </c>
      <c r="W20" s="30" t="str">
        <f aca="false">IF(OR($D20="",$E20=""),"",IF(AND($D20&lt;=W$4+4,$E20&gt;=W$4),1,""))</f>
        <v/>
      </c>
      <c r="X20" s="30" t="str">
        <f aca="false">IF(OR($D20="",$E20=""),"",IF(AND($D20&lt;=X$4+4,$E20&gt;=X$4),1,""))</f>
        <v/>
      </c>
      <c r="Y20" s="30" t="str">
        <f aca="false">IF(OR($D20="",$E20=""),"",IF(AND($D20&lt;=Y$4+4,$E20&gt;=Y$4),1,""))</f>
        <v/>
      </c>
      <c r="Z20" s="30" t="str">
        <f aca="false">IF(OR($D20="",$E20=""),"",IF(AND($D20&lt;=Z$4+4,$E20&gt;=Z$4),1,""))</f>
        <v/>
      </c>
      <c r="AA20" s="30" t="str">
        <f aca="false">IF(OR($D20="",$E20=""),"",IF(AND($D20&lt;=AA$4+4,$E20&gt;=AA$4),1,""))</f>
        <v/>
      </c>
      <c r="AB20" s="30" t="str">
        <f aca="false">IF(OR($D20="",$E20=""),"",IF(AND($D20&lt;=AB$4+4,$E20&gt;=AB$4),1,""))</f>
        <v/>
      </c>
      <c r="AC20" s="30" t="str">
        <f aca="false">IF(OR($D20="",$E20=""),"",IF(AND($D20&lt;=AC$4+4,$E20&gt;=AC$4),1,""))</f>
        <v/>
      </c>
      <c r="AD20" s="30" t="str">
        <f aca="false">IF(OR($D20="",$E20=""),"",IF(AND($D20&lt;=AD$4+4,$E20&gt;=AD$4),1,""))</f>
        <v/>
      </c>
      <c r="AE20" s="30" t="str">
        <f aca="false">IF(OR($D20="",$E20=""),"",IF(AND($D20&lt;=AE$4+4,$E20&gt;=AE$4),1,""))</f>
        <v/>
      </c>
    </row>
    <row r="21" customFormat="false" ht="15" hidden="false" customHeight="false" outlineLevel="0" collapsed="false">
      <c r="A21" s="28" t="n">
        <v>15</v>
      </c>
      <c r="B21" s="14" t="str">
        <f aca="false">IFERROR(INDEX(Tablero!$A$5:$A$104,MATCH($A21,Tablero!$J$5:$J$104,0))&amp;"","")</f>
        <v/>
      </c>
      <c r="C21" s="14" t="str">
        <f aca="false">IFERROR(INDEX(Tablero!$B$5:$B$104,MATCH($A21,Tablero!$J$5:$J$104,0))&amp;"","")</f>
        <v/>
      </c>
      <c r="D21" s="29" t="str">
        <f aca="false">IFERROR(INDEX(Tablero!$R$5:$R$104,MATCH($A21,Tablero!$J$5:$J$104,0)),"")</f>
        <v/>
      </c>
      <c r="E21" s="29" t="str">
        <f aca="false">IFERROR(INDEX(Tablero!$S$5:$S$104,MATCH($A21,Tablero!$J$5:$J$104,0)),"")</f>
        <v/>
      </c>
      <c r="F21" s="30" t="str">
        <f aca="false">IF(OR($D21="",$E21=""),"",IF(AND($D21&lt;=F$4+4,$E21&gt;=F$4),1,""))</f>
        <v/>
      </c>
      <c r="G21" s="30" t="str">
        <f aca="false">IF(OR($D21="",$E21=""),"",IF(AND($D21&lt;=G$4+4,$E21&gt;=G$4),1,""))</f>
        <v/>
      </c>
      <c r="H21" s="30" t="str">
        <f aca="false">IF(OR($D21="",$E21=""),"",IF(AND($D21&lt;=H$4+4,$E21&gt;=H$4),1,""))</f>
        <v/>
      </c>
      <c r="I21" s="30" t="str">
        <f aca="false">IF(OR($D21="",$E21=""),"",IF(AND($D21&lt;=I$4+4,$E21&gt;=I$4),1,""))</f>
        <v/>
      </c>
      <c r="J21" s="30" t="str">
        <f aca="false">IF(OR($D21="",$E21=""),"",IF(AND($D21&lt;=J$4+4,$E21&gt;=J$4),1,""))</f>
        <v/>
      </c>
      <c r="K21" s="30" t="str">
        <f aca="false">IF(OR($D21="",$E21=""),"",IF(AND($D21&lt;=K$4+4,$E21&gt;=K$4),1,""))</f>
        <v/>
      </c>
      <c r="L21" s="30" t="str">
        <f aca="false">IF(OR($D21="",$E21=""),"",IF(AND($D21&lt;=L$4+4,$E21&gt;=L$4),1,""))</f>
        <v/>
      </c>
      <c r="M21" s="30" t="str">
        <f aca="false">IF(OR($D21="",$E21=""),"",IF(AND($D21&lt;=M$4+4,$E21&gt;=M$4),1,""))</f>
        <v/>
      </c>
      <c r="N21" s="30" t="str">
        <f aca="false">IF(OR($D21="",$E21=""),"",IF(AND($D21&lt;=N$4+4,$E21&gt;=N$4),1,""))</f>
        <v/>
      </c>
      <c r="O21" s="30" t="str">
        <f aca="false">IF(OR($D21="",$E21=""),"",IF(AND($D21&lt;=O$4+4,$E21&gt;=O$4),1,""))</f>
        <v/>
      </c>
      <c r="P21" s="30" t="str">
        <f aca="false">IF(OR($D21="",$E21=""),"",IF(AND($D21&lt;=P$4+4,$E21&gt;=P$4),1,""))</f>
        <v/>
      </c>
      <c r="Q21" s="30" t="str">
        <f aca="false">IF(OR($D21="",$E21=""),"",IF(AND($D21&lt;=Q$4+4,$E21&gt;=Q$4),1,""))</f>
        <v/>
      </c>
      <c r="R21" s="30" t="str">
        <f aca="false">IF(OR($D21="",$E21=""),"",IF(AND($D21&lt;=R$4+4,$E21&gt;=R$4),1,""))</f>
        <v/>
      </c>
      <c r="S21" s="30" t="str">
        <f aca="false">IF(OR($D21="",$E21=""),"",IF(AND($D21&lt;=S$4+4,$E21&gt;=S$4),1,""))</f>
        <v/>
      </c>
      <c r="T21" s="30" t="str">
        <f aca="false">IF(OR($D21="",$E21=""),"",IF(AND($D21&lt;=T$4+4,$E21&gt;=T$4),1,""))</f>
        <v/>
      </c>
      <c r="U21" s="30" t="str">
        <f aca="false">IF(OR($D21="",$E21=""),"",IF(AND($D21&lt;=U$4+4,$E21&gt;=U$4),1,""))</f>
        <v/>
      </c>
      <c r="V21" s="30" t="str">
        <f aca="false">IF(OR($D21="",$E21=""),"",IF(AND($D21&lt;=V$4+4,$E21&gt;=V$4),1,""))</f>
        <v/>
      </c>
      <c r="W21" s="30" t="str">
        <f aca="false">IF(OR($D21="",$E21=""),"",IF(AND($D21&lt;=W$4+4,$E21&gt;=W$4),1,""))</f>
        <v/>
      </c>
      <c r="X21" s="30" t="str">
        <f aca="false">IF(OR($D21="",$E21=""),"",IF(AND($D21&lt;=X$4+4,$E21&gt;=X$4),1,""))</f>
        <v/>
      </c>
      <c r="Y21" s="30" t="str">
        <f aca="false">IF(OR($D21="",$E21=""),"",IF(AND($D21&lt;=Y$4+4,$E21&gt;=Y$4),1,""))</f>
        <v/>
      </c>
      <c r="Z21" s="30" t="str">
        <f aca="false">IF(OR($D21="",$E21=""),"",IF(AND($D21&lt;=Z$4+4,$E21&gt;=Z$4),1,""))</f>
        <v/>
      </c>
      <c r="AA21" s="30" t="str">
        <f aca="false">IF(OR($D21="",$E21=""),"",IF(AND($D21&lt;=AA$4+4,$E21&gt;=AA$4),1,""))</f>
        <v/>
      </c>
      <c r="AB21" s="30" t="str">
        <f aca="false">IF(OR($D21="",$E21=""),"",IF(AND($D21&lt;=AB$4+4,$E21&gt;=AB$4),1,""))</f>
        <v/>
      </c>
      <c r="AC21" s="30" t="str">
        <f aca="false">IF(OR($D21="",$E21=""),"",IF(AND($D21&lt;=AC$4+4,$E21&gt;=AC$4),1,""))</f>
        <v/>
      </c>
      <c r="AD21" s="30" t="str">
        <f aca="false">IF(OR($D21="",$E21=""),"",IF(AND($D21&lt;=AD$4+4,$E21&gt;=AD$4),1,""))</f>
        <v/>
      </c>
      <c r="AE21" s="30" t="str">
        <f aca="false">IF(OR($D21="",$E21=""),"",IF(AND($D21&lt;=AE$4+4,$E21&gt;=AE$4),1,""))</f>
        <v/>
      </c>
    </row>
    <row r="22" customFormat="false" ht="15" hidden="false" customHeight="false" outlineLevel="0" collapsed="false">
      <c r="A22" s="28" t="n">
        <v>16</v>
      </c>
      <c r="B22" s="14" t="str">
        <f aca="false">IFERROR(INDEX(Tablero!$A$5:$A$104,MATCH($A22,Tablero!$J$5:$J$104,0))&amp;"","")</f>
        <v/>
      </c>
      <c r="C22" s="14" t="str">
        <f aca="false">IFERROR(INDEX(Tablero!$B$5:$B$104,MATCH($A22,Tablero!$J$5:$J$104,0))&amp;"","")</f>
        <v/>
      </c>
      <c r="D22" s="29" t="str">
        <f aca="false">IFERROR(INDEX(Tablero!$R$5:$R$104,MATCH($A22,Tablero!$J$5:$J$104,0)),"")</f>
        <v/>
      </c>
      <c r="E22" s="29" t="str">
        <f aca="false">IFERROR(INDEX(Tablero!$S$5:$S$104,MATCH($A22,Tablero!$J$5:$J$104,0)),"")</f>
        <v/>
      </c>
      <c r="F22" s="30" t="str">
        <f aca="false">IF(OR($D22="",$E22=""),"",IF(AND($D22&lt;=F$4+4,$E22&gt;=F$4),1,""))</f>
        <v/>
      </c>
      <c r="G22" s="30" t="str">
        <f aca="false">IF(OR($D22="",$E22=""),"",IF(AND($D22&lt;=G$4+4,$E22&gt;=G$4),1,""))</f>
        <v/>
      </c>
      <c r="H22" s="30" t="str">
        <f aca="false">IF(OR($D22="",$E22=""),"",IF(AND($D22&lt;=H$4+4,$E22&gt;=H$4),1,""))</f>
        <v/>
      </c>
      <c r="I22" s="30" t="str">
        <f aca="false">IF(OR($D22="",$E22=""),"",IF(AND($D22&lt;=I$4+4,$E22&gt;=I$4),1,""))</f>
        <v/>
      </c>
      <c r="J22" s="30" t="str">
        <f aca="false">IF(OR($D22="",$E22=""),"",IF(AND($D22&lt;=J$4+4,$E22&gt;=J$4),1,""))</f>
        <v/>
      </c>
      <c r="K22" s="30" t="str">
        <f aca="false">IF(OR($D22="",$E22=""),"",IF(AND($D22&lt;=K$4+4,$E22&gt;=K$4),1,""))</f>
        <v/>
      </c>
      <c r="L22" s="30" t="str">
        <f aca="false">IF(OR($D22="",$E22=""),"",IF(AND($D22&lt;=L$4+4,$E22&gt;=L$4),1,""))</f>
        <v/>
      </c>
      <c r="M22" s="30" t="str">
        <f aca="false">IF(OR($D22="",$E22=""),"",IF(AND($D22&lt;=M$4+4,$E22&gt;=M$4),1,""))</f>
        <v/>
      </c>
      <c r="N22" s="30" t="str">
        <f aca="false">IF(OR($D22="",$E22=""),"",IF(AND($D22&lt;=N$4+4,$E22&gt;=N$4),1,""))</f>
        <v/>
      </c>
      <c r="O22" s="30" t="str">
        <f aca="false">IF(OR($D22="",$E22=""),"",IF(AND($D22&lt;=O$4+4,$E22&gt;=O$4),1,""))</f>
        <v/>
      </c>
      <c r="P22" s="30" t="str">
        <f aca="false">IF(OR($D22="",$E22=""),"",IF(AND($D22&lt;=P$4+4,$E22&gt;=P$4),1,""))</f>
        <v/>
      </c>
      <c r="Q22" s="30" t="str">
        <f aca="false">IF(OR($D22="",$E22=""),"",IF(AND($D22&lt;=Q$4+4,$E22&gt;=Q$4),1,""))</f>
        <v/>
      </c>
      <c r="R22" s="30" t="str">
        <f aca="false">IF(OR($D22="",$E22=""),"",IF(AND($D22&lt;=R$4+4,$E22&gt;=R$4),1,""))</f>
        <v/>
      </c>
      <c r="S22" s="30" t="str">
        <f aca="false">IF(OR($D22="",$E22=""),"",IF(AND($D22&lt;=S$4+4,$E22&gt;=S$4),1,""))</f>
        <v/>
      </c>
      <c r="T22" s="30" t="str">
        <f aca="false">IF(OR($D22="",$E22=""),"",IF(AND($D22&lt;=T$4+4,$E22&gt;=T$4),1,""))</f>
        <v/>
      </c>
      <c r="U22" s="30" t="str">
        <f aca="false">IF(OR($D22="",$E22=""),"",IF(AND($D22&lt;=U$4+4,$E22&gt;=U$4),1,""))</f>
        <v/>
      </c>
      <c r="V22" s="30" t="str">
        <f aca="false">IF(OR($D22="",$E22=""),"",IF(AND($D22&lt;=V$4+4,$E22&gt;=V$4),1,""))</f>
        <v/>
      </c>
      <c r="W22" s="30" t="str">
        <f aca="false">IF(OR($D22="",$E22=""),"",IF(AND($D22&lt;=W$4+4,$E22&gt;=W$4),1,""))</f>
        <v/>
      </c>
      <c r="X22" s="30" t="str">
        <f aca="false">IF(OR($D22="",$E22=""),"",IF(AND($D22&lt;=X$4+4,$E22&gt;=X$4),1,""))</f>
        <v/>
      </c>
      <c r="Y22" s="30" t="str">
        <f aca="false">IF(OR($D22="",$E22=""),"",IF(AND($D22&lt;=Y$4+4,$E22&gt;=Y$4),1,""))</f>
        <v/>
      </c>
      <c r="Z22" s="30" t="str">
        <f aca="false">IF(OR($D22="",$E22=""),"",IF(AND($D22&lt;=Z$4+4,$E22&gt;=Z$4),1,""))</f>
        <v/>
      </c>
      <c r="AA22" s="30" t="str">
        <f aca="false">IF(OR($D22="",$E22=""),"",IF(AND($D22&lt;=AA$4+4,$E22&gt;=AA$4),1,""))</f>
        <v/>
      </c>
      <c r="AB22" s="30" t="str">
        <f aca="false">IF(OR($D22="",$E22=""),"",IF(AND($D22&lt;=AB$4+4,$E22&gt;=AB$4),1,""))</f>
        <v/>
      </c>
      <c r="AC22" s="30" t="str">
        <f aca="false">IF(OR($D22="",$E22=""),"",IF(AND($D22&lt;=AC$4+4,$E22&gt;=AC$4),1,""))</f>
        <v/>
      </c>
      <c r="AD22" s="30" t="str">
        <f aca="false">IF(OR($D22="",$E22=""),"",IF(AND($D22&lt;=AD$4+4,$E22&gt;=AD$4),1,""))</f>
        <v/>
      </c>
      <c r="AE22" s="30" t="str">
        <f aca="false">IF(OR($D22="",$E22=""),"",IF(AND($D22&lt;=AE$4+4,$E22&gt;=AE$4),1,""))</f>
        <v/>
      </c>
    </row>
    <row r="23" customFormat="false" ht="15" hidden="false" customHeight="false" outlineLevel="0" collapsed="false">
      <c r="A23" s="28" t="n">
        <v>17</v>
      </c>
      <c r="B23" s="14" t="str">
        <f aca="false">IFERROR(INDEX(Tablero!$A$5:$A$104,MATCH($A23,Tablero!$J$5:$J$104,0))&amp;"","")</f>
        <v/>
      </c>
      <c r="C23" s="14" t="str">
        <f aca="false">IFERROR(INDEX(Tablero!$B$5:$B$104,MATCH($A23,Tablero!$J$5:$J$104,0))&amp;"","")</f>
        <v/>
      </c>
      <c r="D23" s="29" t="str">
        <f aca="false">IFERROR(INDEX(Tablero!$R$5:$R$104,MATCH($A23,Tablero!$J$5:$J$104,0)),"")</f>
        <v/>
      </c>
      <c r="E23" s="29" t="str">
        <f aca="false">IFERROR(INDEX(Tablero!$S$5:$S$104,MATCH($A23,Tablero!$J$5:$J$104,0)),"")</f>
        <v/>
      </c>
      <c r="F23" s="30" t="str">
        <f aca="false">IF(OR($D23="",$E23=""),"",IF(AND($D23&lt;=F$4+4,$E23&gt;=F$4),1,""))</f>
        <v/>
      </c>
      <c r="G23" s="30" t="str">
        <f aca="false">IF(OR($D23="",$E23=""),"",IF(AND($D23&lt;=G$4+4,$E23&gt;=G$4),1,""))</f>
        <v/>
      </c>
      <c r="H23" s="30" t="str">
        <f aca="false">IF(OR($D23="",$E23=""),"",IF(AND($D23&lt;=H$4+4,$E23&gt;=H$4),1,""))</f>
        <v/>
      </c>
      <c r="I23" s="30" t="str">
        <f aca="false">IF(OR($D23="",$E23=""),"",IF(AND($D23&lt;=I$4+4,$E23&gt;=I$4),1,""))</f>
        <v/>
      </c>
      <c r="J23" s="30" t="str">
        <f aca="false">IF(OR($D23="",$E23=""),"",IF(AND($D23&lt;=J$4+4,$E23&gt;=J$4),1,""))</f>
        <v/>
      </c>
      <c r="K23" s="30" t="str">
        <f aca="false">IF(OR($D23="",$E23=""),"",IF(AND($D23&lt;=K$4+4,$E23&gt;=K$4),1,""))</f>
        <v/>
      </c>
      <c r="L23" s="30" t="str">
        <f aca="false">IF(OR($D23="",$E23=""),"",IF(AND($D23&lt;=L$4+4,$E23&gt;=L$4),1,""))</f>
        <v/>
      </c>
      <c r="M23" s="30" t="str">
        <f aca="false">IF(OR($D23="",$E23=""),"",IF(AND($D23&lt;=M$4+4,$E23&gt;=M$4),1,""))</f>
        <v/>
      </c>
      <c r="N23" s="30" t="str">
        <f aca="false">IF(OR($D23="",$E23=""),"",IF(AND($D23&lt;=N$4+4,$E23&gt;=N$4),1,""))</f>
        <v/>
      </c>
      <c r="O23" s="30" t="str">
        <f aca="false">IF(OR($D23="",$E23=""),"",IF(AND($D23&lt;=O$4+4,$E23&gt;=O$4),1,""))</f>
        <v/>
      </c>
      <c r="P23" s="30" t="str">
        <f aca="false">IF(OR($D23="",$E23=""),"",IF(AND($D23&lt;=P$4+4,$E23&gt;=P$4),1,""))</f>
        <v/>
      </c>
      <c r="Q23" s="30" t="str">
        <f aca="false">IF(OR($D23="",$E23=""),"",IF(AND($D23&lt;=Q$4+4,$E23&gt;=Q$4),1,""))</f>
        <v/>
      </c>
      <c r="R23" s="30" t="str">
        <f aca="false">IF(OR($D23="",$E23=""),"",IF(AND($D23&lt;=R$4+4,$E23&gt;=R$4),1,""))</f>
        <v/>
      </c>
      <c r="S23" s="30" t="str">
        <f aca="false">IF(OR($D23="",$E23=""),"",IF(AND($D23&lt;=S$4+4,$E23&gt;=S$4),1,""))</f>
        <v/>
      </c>
      <c r="T23" s="30" t="str">
        <f aca="false">IF(OR($D23="",$E23=""),"",IF(AND($D23&lt;=T$4+4,$E23&gt;=T$4),1,""))</f>
        <v/>
      </c>
      <c r="U23" s="30" t="str">
        <f aca="false">IF(OR($D23="",$E23=""),"",IF(AND($D23&lt;=U$4+4,$E23&gt;=U$4),1,""))</f>
        <v/>
      </c>
      <c r="V23" s="30" t="str">
        <f aca="false">IF(OR($D23="",$E23=""),"",IF(AND($D23&lt;=V$4+4,$E23&gt;=V$4),1,""))</f>
        <v/>
      </c>
      <c r="W23" s="30" t="str">
        <f aca="false">IF(OR($D23="",$E23=""),"",IF(AND($D23&lt;=W$4+4,$E23&gt;=W$4),1,""))</f>
        <v/>
      </c>
      <c r="X23" s="30" t="str">
        <f aca="false">IF(OR($D23="",$E23=""),"",IF(AND($D23&lt;=X$4+4,$E23&gt;=X$4),1,""))</f>
        <v/>
      </c>
      <c r="Y23" s="30" t="str">
        <f aca="false">IF(OR($D23="",$E23=""),"",IF(AND($D23&lt;=Y$4+4,$E23&gt;=Y$4),1,""))</f>
        <v/>
      </c>
      <c r="Z23" s="30" t="str">
        <f aca="false">IF(OR($D23="",$E23=""),"",IF(AND($D23&lt;=Z$4+4,$E23&gt;=Z$4),1,""))</f>
        <v/>
      </c>
      <c r="AA23" s="30" t="str">
        <f aca="false">IF(OR($D23="",$E23=""),"",IF(AND($D23&lt;=AA$4+4,$E23&gt;=AA$4),1,""))</f>
        <v/>
      </c>
      <c r="AB23" s="30" t="str">
        <f aca="false">IF(OR($D23="",$E23=""),"",IF(AND($D23&lt;=AB$4+4,$E23&gt;=AB$4),1,""))</f>
        <v/>
      </c>
      <c r="AC23" s="30" t="str">
        <f aca="false">IF(OR($D23="",$E23=""),"",IF(AND($D23&lt;=AC$4+4,$E23&gt;=AC$4),1,""))</f>
        <v/>
      </c>
      <c r="AD23" s="30" t="str">
        <f aca="false">IF(OR($D23="",$E23=""),"",IF(AND($D23&lt;=AD$4+4,$E23&gt;=AD$4),1,""))</f>
        <v/>
      </c>
      <c r="AE23" s="30" t="str">
        <f aca="false">IF(OR($D23="",$E23=""),"",IF(AND($D23&lt;=AE$4+4,$E23&gt;=AE$4),1,""))</f>
        <v/>
      </c>
    </row>
    <row r="24" customFormat="false" ht="15" hidden="false" customHeight="false" outlineLevel="0" collapsed="false">
      <c r="A24" s="28" t="n">
        <v>18</v>
      </c>
      <c r="B24" s="14" t="str">
        <f aca="false">IFERROR(INDEX(Tablero!$A$5:$A$104,MATCH($A24,Tablero!$J$5:$J$104,0))&amp;"","")</f>
        <v/>
      </c>
      <c r="C24" s="14" t="str">
        <f aca="false">IFERROR(INDEX(Tablero!$B$5:$B$104,MATCH($A24,Tablero!$J$5:$J$104,0))&amp;"","")</f>
        <v/>
      </c>
      <c r="D24" s="29" t="str">
        <f aca="false">IFERROR(INDEX(Tablero!$R$5:$R$104,MATCH($A24,Tablero!$J$5:$J$104,0)),"")</f>
        <v/>
      </c>
      <c r="E24" s="29" t="str">
        <f aca="false">IFERROR(INDEX(Tablero!$S$5:$S$104,MATCH($A24,Tablero!$J$5:$J$104,0)),"")</f>
        <v/>
      </c>
      <c r="F24" s="30" t="str">
        <f aca="false">IF(OR($D24="",$E24=""),"",IF(AND($D24&lt;=F$4+4,$E24&gt;=F$4),1,""))</f>
        <v/>
      </c>
      <c r="G24" s="30" t="str">
        <f aca="false">IF(OR($D24="",$E24=""),"",IF(AND($D24&lt;=G$4+4,$E24&gt;=G$4),1,""))</f>
        <v/>
      </c>
      <c r="H24" s="30" t="str">
        <f aca="false">IF(OR($D24="",$E24=""),"",IF(AND($D24&lt;=H$4+4,$E24&gt;=H$4),1,""))</f>
        <v/>
      </c>
      <c r="I24" s="30" t="str">
        <f aca="false">IF(OR($D24="",$E24=""),"",IF(AND($D24&lt;=I$4+4,$E24&gt;=I$4),1,""))</f>
        <v/>
      </c>
      <c r="J24" s="30" t="str">
        <f aca="false">IF(OR($D24="",$E24=""),"",IF(AND($D24&lt;=J$4+4,$E24&gt;=J$4),1,""))</f>
        <v/>
      </c>
      <c r="K24" s="30" t="str">
        <f aca="false">IF(OR($D24="",$E24=""),"",IF(AND($D24&lt;=K$4+4,$E24&gt;=K$4),1,""))</f>
        <v/>
      </c>
      <c r="L24" s="30" t="str">
        <f aca="false">IF(OR($D24="",$E24=""),"",IF(AND($D24&lt;=L$4+4,$E24&gt;=L$4),1,""))</f>
        <v/>
      </c>
      <c r="M24" s="30" t="str">
        <f aca="false">IF(OR($D24="",$E24=""),"",IF(AND($D24&lt;=M$4+4,$E24&gt;=M$4),1,""))</f>
        <v/>
      </c>
      <c r="N24" s="30" t="str">
        <f aca="false">IF(OR($D24="",$E24=""),"",IF(AND($D24&lt;=N$4+4,$E24&gt;=N$4),1,""))</f>
        <v/>
      </c>
      <c r="O24" s="30" t="str">
        <f aca="false">IF(OR($D24="",$E24=""),"",IF(AND($D24&lt;=O$4+4,$E24&gt;=O$4),1,""))</f>
        <v/>
      </c>
      <c r="P24" s="30" t="str">
        <f aca="false">IF(OR($D24="",$E24=""),"",IF(AND($D24&lt;=P$4+4,$E24&gt;=P$4),1,""))</f>
        <v/>
      </c>
      <c r="Q24" s="30" t="str">
        <f aca="false">IF(OR($D24="",$E24=""),"",IF(AND($D24&lt;=Q$4+4,$E24&gt;=Q$4),1,""))</f>
        <v/>
      </c>
      <c r="R24" s="30" t="str">
        <f aca="false">IF(OR($D24="",$E24=""),"",IF(AND($D24&lt;=R$4+4,$E24&gt;=R$4),1,""))</f>
        <v/>
      </c>
      <c r="S24" s="30" t="str">
        <f aca="false">IF(OR($D24="",$E24=""),"",IF(AND($D24&lt;=S$4+4,$E24&gt;=S$4),1,""))</f>
        <v/>
      </c>
      <c r="T24" s="30" t="str">
        <f aca="false">IF(OR($D24="",$E24=""),"",IF(AND($D24&lt;=T$4+4,$E24&gt;=T$4),1,""))</f>
        <v/>
      </c>
      <c r="U24" s="30" t="str">
        <f aca="false">IF(OR($D24="",$E24=""),"",IF(AND($D24&lt;=U$4+4,$E24&gt;=U$4),1,""))</f>
        <v/>
      </c>
      <c r="V24" s="30" t="str">
        <f aca="false">IF(OR($D24="",$E24=""),"",IF(AND($D24&lt;=V$4+4,$E24&gt;=V$4),1,""))</f>
        <v/>
      </c>
      <c r="W24" s="30" t="str">
        <f aca="false">IF(OR($D24="",$E24=""),"",IF(AND($D24&lt;=W$4+4,$E24&gt;=W$4),1,""))</f>
        <v/>
      </c>
      <c r="X24" s="30" t="str">
        <f aca="false">IF(OR($D24="",$E24=""),"",IF(AND($D24&lt;=X$4+4,$E24&gt;=X$4),1,""))</f>
        <v/>
      </c>
      <c r="Y24" s="30" t="str">
        <f aca="false">IF(OR($D24="",$E24=""),"",IF(AND($D24&lt;=Y$4+4,$E24&gt;=Y$4),1,""))</f>
        <v/>
      </c>
      <c r="Z24" s="30" t="str">
        <f aca="false">IF(OR($D24="",$E24=""),"",IF(AND($D24&lt;=Z$4+4,$E24&gt;=Z$4),1,""))</f>
        <v/>
      </c>
      <c r="AA24" s="30" t="str">
        <f aca="false">IF(OR($D24="",$E24=""),"",IF(AND($D24&lt;=AA$4+4,$E24&gt;=AA$4),1,""))</f>
        <v/>
      </c>
      <c r="AB24" s="30" t="str">
        <f aca="false">IF(OR($D24="",$E24=""),"",IF(AND($D24&lt;=AB$4+4,$E24&gt;=AB$4),1,""))</f>
        <v/>
      </c>
      <c r="AC24" s="30" t="str">
        <f aca="false">IF(OR($D24="",$E24=""),"",IF(AND($D24&lt;=AC$4+4,$E24&gt;=AC$4),1,""))</f>
        <v/>
      </c>
      <c r="AD24" s="30" t="str">
        <f aca="false">IF(OR($D24="",$E24=""),"",IF(AND($D24&lt;=AD$4+4,$E24&gt;=AD$4),1,""))</f>
        <v/>
      </c>
      <c r="AE24" s="30" t="str">
        <f aca="false">IF(OR($D24="",$E24=""),"",IF(AND($D24&lt;=AE$4+4,$E24&gt;=AE$4),1,""))</f>
        <v/>
      </c>
    </row>
    <row r="25" customFormat="false" ht="15" hidden="false" customHeight="false" outlineLevel="0" collapsed="false">
      <c r="A25" s="28" t="n">
        <v>19</v>
      </c>
      <c r="B25" s="14" t="str">
        <f aca="false">IFERROR(INDEX(Tablero!$A$5:$A$104,MATCH($A25,Tablero!$J$5:$J$104,0))&amp;"","")</f>
        <v/>
      </c>
      <c r="C25" s="14" t="str">
        <f aca="false">IFERROR(INDEX(Tablero!$B$5:$B$104,MATCH($A25,Tablero!$J$5:$J$104,0))&amp;"","")</f>
        <v/>
      </c>
      <c r="D25" s="29" t="str">
        <f aca="false">IFERROR(INDEX(Tablero!$R$5:$R$104,MATCH($A25,Tablero!$J$5:$J$104,0)),"")</f>
        <v/>
      </c>
      <c r="E25" s="29" t="str">
        <f aca="false">IFERROR(INDEX(Tablero!$S$5:$S$104,MATCH($A25,Tablero!$J$5:$J$104,0)),"")</f>
        <v/>
      </c>
      <c r="F25" s="30" t="str">
        <f aca="false">IF(OR($D25="",$E25=""),"",IF(AND($D25&lt;=F$4+4,$E25&gt;=F$4),1,""))</f>
        <v/>
      </c>
      <c r="G25" s="30" t="str">
        <f aca="false">IF(OR($D25="",$E25=""),"",IF(AND($D25&lt;=G$4+4,$E25&gt;=G$4),1,""))</f>
        <v/>
      </c>
      <c r="H25" s="30" t="str">
        <f aca="false">IF(OR($D25="",$E25=""),"",IF(AND($D25&lt;=H$4+4,$E25&gt;=H$4),1,""))</f>
        <v/>
      </c>
      <c r="I25" s="30" t="str">
        <f aca="false">IF(OR($D25="",$E25=""),"",IF(AND($D25&lt;=I$4+4,$E25&gt;=I$4),1,""))</f>
        <v/>
      </c>
      <c r="J25" s="30" t="str">
        <f aca="false">IF(OR($D25="",$E25=""),"",IF(AND($D25&lt;=J$4+4,$E25&gt;=J$4),1,""))</f>
        <v/>
      </c>
      <c r="K25" s="30" t="str">
        <f aca="false">IF(OR($D25="",$E25=""),"",IF(AND($D25&lt;=K$4+4,$E25&gt;=K$4),1,""))</f>
        <v/>
      </c>
      <c r="L25" s="30" t="str">
        <f aca="false">IF(OR($D25="",$E25=""),"",IF(AND($D25&lt;=L$4+4,$E25&gt;=L$4),1,""))</f>
        <v/>
      </c>
      <c r="M25" s="30" t="str">
        <f aca="false">IF(OR($D25="",$E25=""),"",IF(AND($D25&lt;=M$4+4,$E25&gt;=M$4),1,""))</f>
        <v/>
      </c>
      <c r="N25" s="30" t="str">
        <f aca="false">IF(OR($D25="",$E25=""),"",IF(AND($D25&lt;=N$4+4,$E25&gt;=N$4),1,""))</f>
        <v/>
      </c>
      <c r="O25" s="30" t="str">
        <f aca="false">IF(OR($D25="",$E25=""),"",IF(AND($D25&lt;=O$4+4,$E25&gt;=O$4),1,""))</f>
        <v/>
      </c>
      <c r="P25" s="30" t="str">
        <f aca="false">IF(OR($D25="",$E25=""),"",IF(AND($D25&lt;=P$4+4,$E25&gt;=P$4),1,""))</f>
        <v/>
      </c>
      <c r="Q25" s="30" t="str">
        <f aca="false">IF(OR($D25="",$E25=""),"",IF(AND($D25&lt;=Q$4+4,$E25&gt;=Q$4),1,""))</f>
        <v/>
      </c>
      <c r="R25" s="30" t="str">
        <f aca="false">IF(OR($D25="",$E25=""),"",IF(AND($D25&lt;=R$4+4,$E25&gt;=R$4),1,""))</f>
        <v/>
      </c>
      <c r="S25" s="30" t="str">
        <f aca="false">IF(OR($D25="",$E25=""),"",IF(AND($D25&lt;=S$4+4,$E25&gt;=S$4),1,""))</f>
        <v/>
      </c>
      <c r="T25" s="30" t="str">
        <f aca="false">IF(OR($D25="",$E25=""),"",IF(AND($D25&lt;=T$4+4,$E25&gt;=T$4),1,""))</f>
        <v/>
      </c>
      <c r="U25" s="30" t="str">
        <f aca="false">IF(OR($D25="",$E25=""),"",IF(AND($D25&lt;=U$4+4,$E25&gt;=U$4),1,""))</f>
        <v/>
      </c>
      <c r="V25" s="30" t="str">
        <f aca="false">IF(OR($D25="",$E25=""),"",IF(AND($D25&lt;=V$4+4,$E25&gt;=V$4),1,""))</f>
        <v/>
      </c>
      <c r="W25" s="30" t="str">
        <f aca="false">IF(OR($D25="",$E25=""),"",IF(AND($D25&lt;=W$4+4,$E25&gt;=W$4),1,""))</f>
        <v/>
      </c>
      <c r="X25" s="30" t="str">
        <f aca="false">IF(OR($D25="",$E25=""),"",IF(AND($D25&lt;=X$4+4,$E25&gt;=X$4),1,""))</f>
        <v/>
      </c>
      <c r="Y25" s="30" t="str">
        <f aca="false">IF(OR($D25="",$E25=""),"",IF(AND($D25&lt;=Y$4+4,$E25&gt;=Y$4),1,""))</f>
        <v/>
      </c>
      <c r="Z25" s="30" t="str">
        <f aca="false">IF(OR($D25="",$E25=""),"",IF(AND($D25&lt;=Z$4+4,$E25&gt;=Z$4),1,""))</f>
        <v/>
      </c>
      <c r="AA25" s="30" t="str">
        <f aca="false">IF(OR($D25="",$E25=""),"",IF(AND($D25&lt;=AA$4+4,$E25&gt;=AA$4),1,""))</f>
        <v/>
      </c>
      <c r="AB25" s="30" t="str">
        <f aca="false">IF(OR($D25="",$E25=""),"",IF(AND($D25&lt;=AB$4+4,$E25&gt;=AB$4),1,""))</f>
        <v/>
      </c>
      <c r="AC25" s="30" t="str">
        <f aca="false">IF(OR($D25="",$E25=""),"",IF(AND($D25&lt;=AC$4+4,$E25&gt;=AC$4),1,""))</f>
        <v/>
      </c>
      <c r="AD25" s="30" t="str">
        <f aca="false">IF(OR($D25="",$E25=""),"",IF(AND($D25&lt;=AD$4+4,$E25&gt;=AD$4),1,""))</f>
        <v/>
      </c>
      <c r="AE25" s="30" t="str">
        <f aca="false">IF(OR($D25="",$E25=""),"",IF(AND($D25&lt;=AE$4+4,$E25&gt;=AE$4),1,""))</f>
        <v/>
      </c>
    </row>
    <row r="26" customFormat="false" ht="15" hidden="false" customHeight="false" outlineLevel="0" collapsed="false">
      <c r="A26" s="28" t="n">
        <v>20</v>
      </c>
      <c r="B26" s="14" t="str">
        <f aca="false">IFERROR(INDEX(Tablero!$A$5:$A$104,MATCH($A26,Tablero!$J$5:$J$104,0))&amp;"","")</f>
        <v/>
      </c>
      <c r="C26" s="14" t="str">
        <f aca="false">IFERROR(INDEX(Tablero!$B$5:$B$104,MATCH($A26,Tablero!$J$5:$J$104,0))&amp;"","")</f>
        <v/>
      </c>
      <c r="D26" s="29" t="str">
        <f aca="false">IFERROR(INDEX(Tablero!$R$5:$R$104,MATCH($A26,Tablero!$J$5:$J$104,0)),"")</f>
        <v/>
      </c>
      <c r="E26" s="29" t="str">
        <f aca="false">IFERROR(INDEX(Tablero!$S$5:$S$104,MATCH($A26,Tablero!$J$5:$J$104,0)),"")</f>
        <v/>
      </c>
      <c r="F26" s="30" t="str">
        <f aca="false">IF(OR($D26="",$E26=""),"",IF(AND($D26&lt;=F$4+4,$E26&gt;=F$4),1,""))</f>
        <v/>
      </c>
      <c r="G26" s="30" t="str">
        <f aca="false">IF(OR($D26="",$E26=""),"",IF(AND($D26&lt;=G$4+4,$E26&gt;=G$4),1,""))</f>
        <v/>
      </c>
      <c r="H26" s="30" t="str">
        <f aca="false">IF(OR($D26="",$E26=""),"",IF(AND($D26&lt;=H$4+4,$E26&gt;=H$4),1,""))</f>
        <v/>
      </c>
      <c r="I26" s="30" t="str">
        <f aca="false">IF(OR($D26="",$E26=""),"",IF(AND($D26&lt;=I$4+4,$E26&gt;=I$4),1,""))</f>
        <v/>
      </c>
      <c r="J26" s="30" t="str">
        <f aca="false">IF(OR($D26="",$E26=""),"",IF(AND($D26&lt;=J$4+4,$E26&gt;=J$4),1,""))</f>
        <v/>
      </c>
      <c r="K26" s="30" t="str">
        <f aca="false">IF(OR($D26="",$E26=""),"",IF(AND($D26&lt;=K$4+4,$E26&gt;=K$4),1,""))</f>
        <v/>
      </c>
      <c r="L26" s="30" t="str">
        <f aca="false">IF(OR($D26="",$E26=""),"",IF(AND($D26&lt;=L$4+4,$E26&gt;=L$4),1,""))</f>
        <v/>
      </c>
      <c r="M26" s="30" t="str">
        <f aca="false">IF(OR($D26="",$E26=""),"",IF(AND($D26&lt;=M$4+4,$E26&gt;=M$4),1,""))</f>
        <v/>
      </c>
      <c r="N26" s="30" t="str">
        <f aca="false">IF(OR($D26="",$E26=""),"",IF(AND($D26&lt;=N$4+4,$E26&gt;=N$4),1,""))</f>
        <v/>
      </c>
      <c r="O26" s="30" t="str">
        <f aca="false">IF(OR($D26="",$E26=""),"",IF(AND($D26&lt;=O$4+4,$E26&gt;=O$4),1,""))</f>
        <v/>
      </c>
      <c r="P26" s="30" t="str">
        <f aca="false">IF(OR($D26="",$E26=""),"",IF(AND($D26&lt;=P$4+4,$E26&gt;=P$4),1,""))</f>
        <v/>
      </c>
      <c r="Q26" s="30" t="str">
        <f aca="false">IF(OR($D26="",$E26=""),"",IF(AND($D26&lt;=Q$4+4,$E26&gt;=Q$4),1,""))</f>
        <v/>
      </c>
      <c r="R26" s="30" t="str">
        <f aca="false">IF(OR($D26="",$E26=""),"",IF(AND($D26&lt;=R$4+4,$E26&gt;=R$4),1,""))</f>
        <v/>
      </c>
      <c r="S26" s="30" t="str">
        <f aca="false">IF(OR($D26="",$E26=""),"",IF(AND($D26&lt;=S$4+4,$E26&gt;=S$4),1,""))</f>
        <v/>
      </c>
      <c r="T26" s="30" t="str">
        <f aca="false">IF(OR($D26="",$E26=""),"",IF(AND($D26&lt;=T$4+4,$E26&gt;=T$4),1,""))</f>
        <v/>
      </c>
      <c r="U26" s="30" t="str">
        <f aca="false">IF(OR($D26="",$E26=""),"",IF(AND($D26&lt;=U$4+4,$E26&gt;=U$4),1,""))</f>
        <v/>
      </c>
      <c r="V26" s="30" t="str">
        <f aca="false">IF(OR($D26="",$E26=""),"",IF(AND($D26&lt;=V$4+4,$E26&gt;=V$4),1,""))</f>
        <v/>
      </c>
      <c r="W26" s="30" t="str">
        <f aca="false">IF(OR($D26="",$E26=""),"",IF(AND($D26&lt;=W$4+4,$E26&gt;=W$4),1,""))</f>
        <v/>
      </c>
      <c r="X26" s="30" t="str">
        <f aca="false">IF(OR($D26="",$E26=""),"",IF(AND($D26&lt;=X$4+4,$E26&gt;=X$4),1,""))</f>
        <v/>
      </c>
      <c r="Y26" s="30" t="str">
        <f aca="false">IF(OR($D26="",$E26=""),"",IF(AND($D26&lt;=Y$4+4,$E26&gt;=Y$4),1,""))</f>
        <v/>
      </c>
      <c r="Z26" s="30" t="str">
        <f aca="false">IF(OR($D26="",$E26=""),"",IF(AND($D26&lt;=Z$4+4,$E26&gt;=Z$4),1,""))</f>
        <v/>
      </c>
      <c r="AA26" s="30" t="str">
        <f aca="false">IF(OR($D26="",$E26=""),"",IF(AND($D26&lt;=AA$4+4,$E26&gt;=AA$4),1,""))</f>
        <v/>
      </c>
      <c r="AB26" s="30" t="str">
        <f aca="false">IF(OR($D26="",$E26=""),"",IF(AND($D26&lt;=AB$4+4,$E26&gt;=AB$4),1,""))</f>
        <v/>
      </c>
      <c r="AC26" s="30" t="str">
        <f aca="false">IF(OR($D26="",$E26=""),"",IF(AND($D26&lt;=AC$4+4,$E26&gt;=AC$4),1,""))</f>
        <v/>
      </c>
      <c r="AD26" s="30" t="str">
        <f aca="false">IF(OR($D26="",$E26=""),"",IF(AND($D26&lt;=AD$4+4,$E26&gt;=AD$4),1,""))</f>
        <v/>
      </c>
      <c r="AE26" s="30" t="str">
        <f aca="false">IF(OR($D26="",$E26=""),"",IF(AND($D26&lt;=AE$4+4,$E26&gt;=AE$4),1,""))</f>
        <v/>
      </c>
    </row>
    <row r="27" customFormat="false" ht="15" hidden="false" customHeight="false" outlineLevel="0" collapsed="false">
      <c r="A27" s="28" t="n">
        <v>21</v>
      </c>
      <c r="B27" s="14" t="str">
        <f aca="false">IFERROR(INDEX(Tablero!$A$5:$A$104,MATCH($A27,Tablero!$J$5:$J$104,0))&amp;"","")</f>
        <v/>
      </c>
      <c r="C27" s="14" t="str">
        <f aca="false">IFERROR(INDEX(Tablero!$B$5:$B$104,MATCH($A27,Tablero!$J$5:$J$104,0))&amp;"","")</f>
        <v/>
      </c>
      <c r="D27" s="29" t="str">
        <f aca="false">IFERROR(INDEX(Tablero!$R$5:$R$104,MATCH($A27,Tablero!$J$5:$J$104,0)),"")</f>
        <v/>
      </c>
      <c r="E27" s="29" t="str">
        <f aca="false">IFERROR(INDEX(Tablero!$S$5:$S$104,MATCH($A27,Tablero!$J$5:$J$104,0)),"")</f>
        <v/>
      </c>
      <c r="F27" s="30" t="str">
        <f aca="false">IF(OR($D27="",$E27=""),"",IF(AND($D27&lt;=F$4+4,$E27&gt;=F$4),1,""))</f>
        <v/>
      </c>
      <c r="G27" s="30" t="str">
        <f aca="false">IF(OR($D27="",$E27=""),"",IF(AND($D27&lt;=G$4+4,$E27&gt;=G$4),1,""))</f>
        <v/>
      </c>
      <c r="H27" s="30" t="str">
        <f aca="false">IF(OR($D27="",$E27=""),"",IF(AND($D27&lt;=H$4+4,$E27&gt;=H$4),1,""))</f>
        <v/>
      </c>
      <c r="I27" s="30" t="str">
        <f aca="false">IF(OR($D27="",$E27=""),"",IF(AND($D27&lt;=I$4+4,$E27&gt;=I$4),1,""))</f>
        <v/>
      </c>
      <c r="J27" s="30" t="str">
        <f aca="false">IF(OR($D27="",$E27=""),"",IF(AND($D27&lt;=J$4+4,$E27&gt;=J$4),1,""))</f>
        <v/>
      </c>
      <c r="K27" s="30" t="str">
        <f aca="false">IF(OR($D27="",$E27=""),"",IF(AND($D27&lt;=K$4+4,$E27&gt;=K$4),1,""))</f>
        <v/>
      </c>
      <c r="L27" s="30" t="str">
        <f aca="false">IF(OR($D27="",$E27=""),"",IF(AND($D27&lt;=L$4+4,$E27&gt;=L$4),1,""))</f>
        <v/>
      </c>
      <c r="M27" s="30" t="str">
        <f aca="false">IF(OR($D27="",$E27=""),"",IF(AND($D27&lt;=M$4+4,$E27&gt;=M$4),1,""))</f>
        <v/>
      </c>
      <c r="N27" s="30" t="str">
        <f aca="false">IF(OR($D27="",$E27=""),"",IF(AND($D27&lt;=N$4+4,$E27&gt;=N$4),1,""))</f>
        <v/>
      </c>
      <c r="O27" s="30" t="str">
        <f aca="false">IF(OR($D27="",$E27=""),"",IF(AND($D27&lt;=O$4+4,$E27&gt;=O$4),1,""))</f>
        <v/>
      </c>
      <c r="P27" s="30" t="str">
        <f aca="false">IF(OR($D27="",$E27=""),"",IF(AND($D27&lt;=P$4+4,$E27&gt;=P$4),1,""))</f>
        <v/>
      </c>
      <c r="Q27" s="30" t="str">
        <f aca="false">IF(OR($D27="",$E27=""),"",IF(AND($D27&lt;=Q$4+4,$E27&gt;=Q$4),1,""))</f>
        <v/>
      </c>
      <c r="R27" s="30" t="str">
        <f aca="false">IF(OR($D27="",$E27=""),"",IF(AND($D27&lt;=R$4+4,$E27&gt;=R$4),1,""))</f>
        <v/>
      </c>
      <c r="S27" s="30" t="str">
        <f aca="false">IF(OR($D27="",$E27=""),"",IF(AND($D27&lt;=S$4+4,$E27&gt;=S$4),1,""))</f>
        <v/>
      </c>
      <c r="T27" s="30" t="str">
        <f aca="false">IF(OR($D27="",$E27=""),"",IF(AND($D27&lt;=T$4+4,$E27&gt;=T$4),1,""))</f>
        <v/>
      </c>
      <c r="U27" s="30" t="str">
        <f aca="false">IF(OR($D27="",$E27=""),"",IF(AND($D27&lt;=U$4+4,$E27&gt;=U$4),1,""))</f>
        <v/>
      </c>
      <c r="V27" s="30" t="str">
        <f aca="false">IF(OR($D27="",$E27=""),"",IF(AND($D27&lt;=V$4+4,$E27&gt;=V$4),1,""))</f>
        <v/>
      </c>
      <c r="W27" s="30" t="str">
        <f aca="false">IF(OR($D27="",$E27=""),"",IF(AND($D27&lt;=W$4+4,$E27&gt;=W$4),1,""))</f>
        <v/>
      </c>
      <c r="X27" s="30" t="str">
        <f aca="false">IF(OR($D27="",$E27=""),"",IF(AND($D27&lt;=X$4+4,$E27&gt;=X$4),1,""))</f>
        <v/>
      </c>
      <c r="Y27" s="30" t="str">
        <f aca="false">IF(OR($D27="",$E27=""),"",IF(AND($D27&lt;=Y$4+4,$E27&gt;=Y$4),1,""))</f>
        <v/>
      </c>
      <c r="Z27" s="30" t="str">
        <f aca="false">IF(OR($D27="",$E27=""),"",IF(AND($D27&lt;=Z$4+4,$E27&gt;=Z$4),1,""))</f>
        <v/>
      </c>
      <c r="AA27" s="30" t="str">
        <f aca="false">IF(OR($D27="",$E27=""),"",IF(AND($D27&lt;=AA$4+4,$E27&gt;=AA$4),1,""))</f>
        <v/>
      </c>
      <c r="AB27" s="30" t="str">
        <f aca="false">IF(OR($D27="",$E27=""),"",IF(AND($D27&lt;=AB$4+4,$E27&gt;=AB$4),1,""))</f>
        <v/>
      </c>
      <c r="AC27" s="30" t="str">
        <f aca="false">IF(OR($D27="",$E27=""),"",IF(AND($D27&lt;=AC$4+4,$E27&gt;=AC$4),1,""))</f>
        <v/>
      </c>
      <c r="AD27" s="30" t="str">
        <f aca="false">IF(OR($D27="",$E27=""),"",IF(AND($D27&lt;=AD$4+4,$E27&gt;=AD$4),1,""))</f>
        <v/>
      </c>
      <c r="AE27" s="30" t="str">
        <f aca="false">IF(OR($D27="",$E27=""),"",IF(AND($D27&lt;=AE$4+4,$E27&gt;=AE$4),1,""))</f>
        <v/>
      </c>
    </row>
    <row r="28" customFormat="false" ht="15" hidden="false" customHeight="false" outlineLevel="0" collapsed="false">
      <c r="A28" s="28" t="n">
        <v>22</v>
      </c>
      <c r="B28" s="14" t="str">
        <f aca="false">IFERROR(INDEX(Tablero!$A$5:$A$104,MATCH($A28,Tablero!$J$5:$J$104,0))&amp;"","")</f>
        <v/>
      </c>
      <c r="C28" s="14" t="str">
        <f aca="false">IFERROR(INDEX(Tablero!$B$5:$B$104,MATCH($A28,Tablero!$J$5:$J$104,0))&amp;"","")</f>
        <v/>
      </c>
      <c r="D28" s="29" t="str">
        <f aca="false">IFERROR(INDEX(Tablero!$R$5:$R$104,MATCH($A28,Tablero!$J$5:$J$104,0)),"")</f>
        <v/>
      </c>
      <c r="E28" s="29" t="str">
        <f aca="false">IFERROR(INDEX(Tablero!$S$5:$S$104,MATCH($A28,Tablero!$J$5:$J$104,0)),"")</f>
        <v/>
      </c>
      <c r="F28" s="30" t="str">
        <f aca="false">IF(OR($D28="",$E28=""),"",IF(AND($D28&lt;=F$4+4,$E28&gt;=F$4),1,""))</f>
        <v/>
      </c>
      <c r="G28" s="30" t="str">
        <f aca="false">IF(OR($D28="",$E28=""),"",IF(AND($D28&lt;=G$4+4,$E28&gt;=G$4),1,""))</f>
        <v/>
      </c>
      <c r="H28" s="30" t="str">
        <f aca="false">IF(OR($D28="",$E28=""),"",IF(AND($D28&lt;=H$4+4,$E28&gt;=H$4),1,""))</f>
        <v/>
      </c>
      <c r="I28" s="30" t="str">
        <f aca="false">IF(OR($D28="",$E28=""),"",IF(AND($D28&lt;=I$4+4,$E28&gt;=I$4),1,""))</f>
        <v/>
      </c>
      <c r="J28" s="30" t="str">
        <f aca="false">IF(OR($D28="",$E28=""),"",IF(AND($D28&lt;=J$4+4,$E28&gt;=J$4),1,""))</f>
        <v/>
      </c>
      <c r="K28" s="30" t="str">
        <f aca="false">IF(OR($D28="",$E28=""),"",IF(AND($D28&lt;=K$4+4,$E28&gt;=K$4),1,""))</f>
        <v/>
      </c>
      <c r="L28" s="30" t="str">
        <f aca="false">IF(OR($D28="",$E28=""),"",IF(AND($D28&lt;=L$4+4,$E28&gt;=L$4),1,""))</f>
        <v/>
      </c>
      <c r="M28" s="30" t="str">
        <f aca="false">IF(OR($D28="",$E28=""),"",IF(AND($D28&lt;=M$4+4,$E28&gt;=M$4),1,""))</f>
        <v/>
      </c>
      <c r="N28" s="30" t="str">
        <f aca="false">IF(OR($D28="",$E28=""),"",IF(AND($D28&lt;=N$4+4,$E28&gt;=N$4),1,""))</f>
        <v/>
      </c>
      <c r="O28" s="30" t="str">
        <f aca="false">IF(OR($D28="",$E28=""),"",IF(AND($D28&lt;=O$4+4,$E28&gt;=O$4),1,""))</f>
        <v/>
      </c>
      <c r="P28" s="30" t="str">
        <f aca="false">IF(OR($D28="",$E28=""),"",IF(AND($D28&lt;=P$4+4,$E28&gt;=P$4),1,""))</f>
        <v/>
      </c>
      <c r="Q28" s="30" t="str">
        <f aca="false">IF(OR($D28="",$E28=""),"",IF(AND($D28&lt;=Q$4+4,$E28&gt;=Q$4),1,""))</f>
        <v/>
      </c>
      <c r="R28" s="30" t="str">
        <f aca="false">IF(OR($D28="",$E28=""),"",IF(AND($D28&lt;=R$4+4,$E28&gt;=R$4),1,""))</f>
        <v/>
      </c>
      <c r="S28" s="30" t="str">
        <f aca="false">IF(OR($D28="",$E28=""),"",IF(AND($D28&lt;=S$4+4,$E28&gt;=S$4),1,""))</f>
        <v/>
      </c>
      <c r="T28" s="30" t="str">
        <f aca="false">IF(OR($D28="",$E28=""),"",IF(AND($D28&lt;=T$4+4,$E28&gt;=T$4),1,""))</f>
        <v/>
      </c>
      <c r="U28" s="30" t="str">
        <f aca="false">IF(OR($D28="",$E28=""),"",IF(AND($D28&lt;=U$4+4,$E28&gt;=U$4),1,""))</f>
        <v/>
      </c>
      <c r="V28" s="30" t="str">
        <f aca="false">IF(OR($D28="",$E28=""),"",IF(AND($D28&lt;=V$4+4,$E28&gt;=V$4),1,""))</f>
        <v/>
      </c>
      <c r="W28" s="30" t="str">
        <f aca="false">IF(OR($D28="",$E28=""),"",IF(AND($D28&lt;=W$4+4,$E28&gt;=W$4),1,""))</f>
        <v/>
      </c>
      <c r="X28" s="30" t="str">
        <f aca="false">IF(OR($D28="",$E28=""),"",IF(AND($D28&lt;=X$4+4,$E28&gt;=X$4),1,""))</f>
        <v/>
      </c>
      <c r="Y28" s="30" t="str">
        <f aca="false">IF(OR($D28="",$E28=""),"",IF(AND($D28&lt;=Y$4+4,$E28&gt;=Y$4),1,""))</f>
        <v/>
      </c>
      <c r="Z28" s="30" t="str">
        <f aca="false">IF(OR($D28="",$E28=""),"",IF(AND($D28&lt;=Z$4+4,$E28&gt;=Z$4),1,""))</f>
        <v/>
      </c>
      <c r="AA28" s="30" t="str">
        <f aca="false">IF(OR($D28="",$E28=""),"",IF(AND($D28&lt;=AA$4+4,$E28&gt;=AA$4),1,""))</f>
        <v/>
      </c>
      <c r="AB28" s="30" t="str">
        <f aca="false">IF(OR($D28="",$E28=""),"",IF(AND($D28&lt;=AB$4+4,$E28&gt;=AB$4),1,""))</f>
        <v/>
      </c>
      <c r="AC28" s="30" t="str">
        <f aca="false">IF(OR($D28="",$E28=""),"",IF(AND($D28&lt;=AC$4+4,$E28&gt;=AC$4),1,""))</f>
        <v/>
      </c>
      <c r="AD28" s="30" t="str">
        <f aca="false">IF(OR($D28="",$E28=""),"",IF(AND($D28&lt;=AD$4+4,$E28&gt;=AD$4),1,""))</f>
        <v/>
      </c>
      <c r="AE28" s="30" t="str">
        <f aca="false">IF(OR($D28="",$E28=""),"",IF(AND($D28&lt;=AE$4+4,$E28&gt;=AE$4),1,""))</f>
        <v/>
      </c>
    </row>
    <row r="29" customFormat="false" ht="15" hidden="false" customHeight="false" outlineLevel="0" collapsed="false">
      <c r="A29" s="28" t="n">
        <v>23</v>
      </c>
      <c r="B29" s="14" t="str">
        <f aca="false">IFERROR(INDEX(Tablero!$A$5:$A$104,MATCH($A29,Tablero!$J$5:$J$104,0))&amp;"","")</f>
        <v/>
      </c>
      <c r="C29" s="14" t="str">
        <f aca="false">IFERROR(INDEX(Tablero!$B$5:$B$104,MATCH($A29,Tablero!$J$5:$J$104,0))&amp;"","")</f>
        <v/>
      </c>
      <c r="D29" s="29" t="str">
        <f aca="false">IFERROR(INDEX(Tablero!$R$5:$R$104,MATCH($A29,Tablero!$J$5:$J$104,0)),"")</f>
        <v/>
      </c>
      <c r="E29" s="29" t="str">
        <f aca="false">IFERROR(INDEX(Tablero!$S$5:$S$104,MATCH($A29,Tablero!$J$5:$J$104,0)),"")</f>
        <v/>
      </c>
      <c r="F29" s="30" t="str">
        <f aca="false">IF(OR($D29="",$E29=""),"",IF(AND($D29&lt;=F$4+4,$E29&gt;=F$4),1,""))</f>
        <v/>
      </c>
      <c r="G29" s="30" t="str">
        <f aca="false">IF(OR($D29="",$E29=""),"",IF(AND($D29&lt;=G$4+4,$E29&gt;=G$4),1,""))</f>
        <v/>
      </c>
      <c r="H29" s="30" t="str">
        <f aca="false">IF(OR($D29="",$E29=""),"",IF(AND($D29&lt;=H$4+4,$E29&gt;=H$4),1,""))</f>
        <v/>
      </c>
      <c r="I29" s="30" t="str">
        <f aca="false">IF(OR($D29="",$E29=""),"",IF(AND($D29&lt;=I$4+4,$E29&gt;=I$4),1,""))</f>
        <v/>
      </c>
      <c r="J29" s="30" t="str">
        <f aca="false">IF(OR($D29="",$E29=""),"",IF(AND($D29&lt;=J$4+4,$E29&gt;=J$4),1,""))</f>
        <v/>
      </c>
      <c r="K29" s="30" t="str">
        <f aca="false">IF(OR($D29="",$E29=""),"",IF(AND($D29&lt;=K$4+4,$E29&gt;=K$4),1,""))</f>
        <v/>
      </c>
      <c r="L29" s="30" t="str">
        <f aca="false">IF(OR($D29="",$E29=""),"",IF(AND($D29&lt;=L$4+4,$E29&gt;=L$4),1,""))</f>
        <v/>
      </c>
      <c r="M29" s="30" t="str">
        <f aca="false">IF(OR($D29="",$E29=""),"",IF(AND($D29&lt;=M$4+4,$E29&gt;=M$4),1,""))</f>
        <v/>
      </c>
      <c r="N29" s="30" t="str">
        <f aca="false">IF(OR($D29="",$E29=""),"",IF(AND($D29&lt;=N$4+4,$E29&gt;=N$4),1,""))</f>
        <v/>
      </c>
      <c r="O29" s="30" t="str">
        <f aca="false">IF(OR($D29="",$E29=""),"",IF(AND($D29&lt;=O$4+4,$E29&gt;=O$4),1,""))</f>
        <v/>
      </c>
      <c r="P29" s="30" t="str">
        <f aca="false">IF(OR($D29="",$E29=""),"",IF(AND($D29&lt;=P$4+4,$E29&gt;=P$4),1,""))</f>
        <v/>
      </c>
      <c r="Q29" s="30" t="str">
        <f aca="false">IF(OR($D29="",$E29=""),"",IF(AND($D29&lt;=Q$4+4,$E29&gt;=Q$4),1,""))</f>
        <v/>
      </c>
      <c r="R29" s="30" t="str">
        <f aca="false">IF(OR($D29="",$E29=""),"",IF(AND($D29&lt;=R$4+4,$E29&gt;=R$4),1,""))</f>
        <v/>
      </c>
      <c r="S29" s="30" t="str">
        <f aca="false">IF(OR($D29="",$E29=""),"",IF(AND($D29&lt;=S$4+4,$E29&gt;=S$4),1,""))</f>
        <v/>
      </c>
      <c r="T29" s="30" t="str">
        <f aca="false">IF(OR($D29="",$E29=""),"",IF(AND($D29&lt;=T$4+4,$E29&gt;=T$4),1,""))</f>
        <v/>
      </c>
      <c r="U29" s="30" t="str">
        <f aca="false">IF(OR($D29="",$E29=""),"",IF(AND($D29&lt;=U$4+4,$E29&gt;=U$4),1,""))</f>
        <v/>
      </c>
      <c r="V29" s="30" t="str">
        <f aca="false">IF(OR($D29="",$E29=""),"",IF(AND($D29&lt;=V$4+4,$E29&gt;=V$4),1,""))</f>
        <v/>
      </c>
      <c r="W29" s="30" t="str">
        <f aca="false">IF(OR($D29="",$E29=""),"",IF(AND($D29&lt;=W$4+4,$E29&gt;=W$4),1,""))</f>
        <v/>
      </c>
      <c r="X29" s="30" t="str">
        <f aca="false">IF(OR($D29="",$E29=""),"",IF(AND($D29&lt;=X$4+4,$E29&gt;=X$4),1,""))</f>
        <v/>
      </c>
      <c r="Y29" s="30" t="str">
        <f aca="false">IF(OR($D29="",$E29=""),"",IF(AND($D29&lt;=Y$4+4,$E29&gt;=Y$4),1,""))</f>
        <v/>
      </c>
      <c r="Z29" s="30" t="str">
        <f aca="false">IF(OR($D29="",$E29=""),"",IF(AND($D29&lt;=Z$4+4,$E29&gt;=Z$4),1,""))</f>
        <v/>
      </c>
      <c r="AA29" s="30" t="str">
        <f aca="false">IF(OR($D29="",$E29=""),"",IF(AND($D29&lt;=AA$4+4,$E29&gt;=AA$4),1,""))</f>
        <v/>
      </c>
      <c r="AB29" s="30" t="str">
        <f aca="false">IF(OR($D29="",$E29=""),"",IF(AND($D29&lt;=AB$4+4,$E29&gt;=AB$4),1,""))</f>
        <v/>
      </c>
      <c r="AC29" s="30" t="str">
        <f aca="false">IF(OR($D29="",$E29=""),"",IF(AND($D29&lt;=AC$4+4,$E29&gt;=AC$4),1,""))</f>
        <v/>
      </c>
      <c r="AD29" s="30" t="str">
        <f aca="false">IF(OR($D29="",$E29=""),"",IF(AND($D29&lt;=AD$4+4,$E29&gt;=AD$4),1,""))</f>
        <v/>
      </c>
      <c r="AE29" s="30" t="str">
        <f aca="false">IF(OR($D29="",$E29=""),"",IF(AND($D29&lt;=AE$4+4,$E29&gt;=AE$4),1,""))</f>
        <v/>
      </c>
    </row>
    <row r="30" customFormat="false" ht="15" hidden="false" customHeight="false" outlineLevel="0" collapsed="false">
      <c r="A30" s="28" t="n">
        <v>24</v>
      </c>
      <c r="B30" s="14" t="str">
        <f aca="false">IFERROR(INDEX(Tablero!$A$5:$A$104,MATCH($A30,Tablero!$J$5:$J$104,0))&amp;"","")</f>
        <v/>
      </c>
      <c r="C30" s="14" t="str">
        <f aca="false">IFERROR(INDEX(Tablero!$B$5:$B$104,MATCH($A30,Tablero!$J$5:$J$104,0))&amp;"","")</f>
        <v/>
      </c>
      <c r="D30" s="29" t="str">
        <f aca="false">IFERROR(INDEX(Tablero!$R$5:$R$104,MATCH($A30,Tablero!$J$5:$J$104,0)),"")</f>
        <v/>
      </c>
      <c r="E30" s="29" t="str">
        <f aca="false">IFERROR(INDEX(Tablero!$S$5:$S$104,MATCH($A30,Tablero!$J$5:$J$104,0)),"")</f>
        <v/>
      </c>
      <c r="F30" s="30" t="str">
        <f aca="false">IF(OR($D30="",$E30=""),"",IF(AND($D30&lt;=F$4+4,$E30&gt;=F$4),1,""))</f>
        <v/>
      </c>
      <c r="G30" s="30" t="str">
        <f aca="false">IF(OR($D30="",$E30=""),"",IF(AND($D30&lt;=G$4+4,$E30&gt;=G$4),1,""))</f>
        <v/>
      </c>
      <c r="H30" s="30" t="str">
        <f aca="false">IF(OR($D30="",$E30=""),"",IF(AND($D30&lt;=H$4+4,$E30&gt;=H$4),1,""))</f>
        <v/>
      </c>
      <c r="I30" s="30" t="str">
        <f aca="false">IF(OR($D30="",$E30=""),"",IF(AND($D30&lt;=I$4+4,$E30&gt;=I$4),1,""))</f>
        <v/>
      </c>
      <c r="J30" s="30" t="str">
        <f aca="false">IF(OR($D30="",$E30=""),"",IF(AND($D30&lt;=J$4+4,$E30&gt;=J$4),1,""))</f>
        <v/>
      </c>
      <c r="K30" s="30" t="str">
        <f aca="false">IF(OR($D30="",$E30=""),"",IF(AND($D30&lt;=K$4+4,$E30&gt;=K$4),1,""))</f>
        <v/>
      </c>
      <c r="L30" s="30" t="str">
        <f aca="false">IF(OR($D30="",$E30=""),"",IF(AND($D30&lt;=L$4+4,$E30&gt;=L$4),1,""))</f>
        <v/>
      </c>
      <c r="M30" s="30" t="str">
        <f aca="false">IF(OR($D30="",$E30=""),"",IF(AND($D30&lt;=M$4+4,$E30&gt;=M$4),1,""))</f>
        <v/>
      </c>
      <c r="N30" s="30" t="str">
        <f aca="false">IF(OR($D30="",$E30=""),"",IF(AND($D30&lt;=N$4+4,$E30&gt;=N$4),1,""))</f>
        <v/>
      </c>
      <c r="O30" s="30" t="str">
        <f aca="false">IF(OR($D30="",$E30=""),"",IF(AND($D30&lt;=O$4+4,$E30&gt;=O$4),1,""))</f>
        <v/>
      </c>
      <c r="P30" s="30" t="str">
        <f aca="false">IF(OR($D30="",$E30=""),"",IF(AND($D30&lt;=P$4+4,$E30&gt;=P$4),1,""))</f>
        <v/>
      </c>
      <c r="Q30" s="30" t="str">
        <f aca="false">IF(OR($D30="",$E30=""),"",IF(AND($D30&lt;=Q$4+4,$E30&gt;=Q$4),1,""))</f>
        <v/>
      </c>
      <c r="R30" s="30" t="str">
        <f aca="false">IF(OR($D30="",$E30=""),"",IF(AND($D30&lt;=R$4+4,$E30&gt;=R$4),1,""))</f>
        <v/>
      </c>
      <c r="S30" s="30" t="str">
        <f aca="false">IF(OR($D30="",$E30=""),"",IF(AND($D30&lt;=S$4+4,$E30&gt;=S$4),1,""))</f>
        <v/>
      </c>
      <c r="T30" s="30" t="str">
        <f aca="false">IF(OR($D30="",$E30=""),"",IF(AND($D30&lt;=T$4+4,$E30&gt;=T$4),1,""))</f>
        <v/>
      </c>
      <c r="U30" s="30" t="str">
        <f aca="false">IF(OR($D30="",$E30=""),"",IF(AND($D30&lt;=U$4+4,$E30&gt;=U$4),1,""))</f>
        <v/>
      </c>
      <c r="V30" s="30" t="str">
        <f aca="false">IF(OR($D30="",$E30=""),"",IF(AND($D30&lt;=V$4+4,$E30&gt;=V$4),1,""))</f>
        <v/>
      </c>
      <c r="W30" s="30" t="str">
        <f aca="false">IF(OR($D30="",$E30=""),"",IF(AND($D30&lt;=W$4+4,$E30&gt;=W$4),1,""))</f>
        <v/>
      </c>
      <c r="X30" s="30" t="str">
        <f aca="false">IF(OR($D30="",$E30=""),"",IF(AND($D30&lt;=X$4+4,$E30&gt;=X$4),1,""))</f>
        <v/>
      </c>
      <c r="Y30" s="30" t="str">
        <f aca="false">IF(OR($D30="",$E30=""),"",IF(AND($D30&lt;=Y$4+4,$E30&gt;=Y$4),1,""))</f>
        <v/>
      </c>
      <c r="Z30" s="30" t="str">
        <f aca="false">IF(OR($D30="",$E30=""),"",IF(AND($D30&lt;=Z$4+4,$E30&gt;=Z$4),1,""))</f>
        <v/>
      </c>
      <c r="AA30" s="30" t="str">
        <f aca="false">IF(OR($D30="",$E30=""),"",IF(AND($D30&lt;=AA$4+4,$E30&gt;=AA$4),1,""))</f>
        <v/>
      </c>
      <c r="AB30" s="30" t="str">
        <f aca="false">IF(OR($D30="",$E30=""),"",IF(AND($D30&lt;=AB$4+4,$E30&gt;=AB$4),1,""))</f>
        <v/>
      </c>
      <c r="AC30" s="30" t="str">
        <f aca="false">IF(OR($D30="",$E30=""),"",IF(AND($D30&lt;=AC$4+4,$E30&gt;=AC$4),1,""))</f>
        <v/>
      </c>
      <c r="AD30" s="30" t="str">
        <f aca="false">IF(OR($D30="",$E30=""),"",IF(AND($D30&lt;=AD$4+4,$E30&gt;=AD$4),1,""))</f>
        <v/>
      </c>
      <c r="AE30" s="30" t="str">
        <f aca="false">IF(OR($D30="",$E30=""),"",IF(AND($D30&lt;=AE$4+4,$E30&gt;=AE$4),1,""))</f>
        <v/>
      </c>
    </row>
    <row r="31" customFormat="false" ht="15" hidden="false" customHeight="false" outlineLevel="0" collapsed="false">
      <c r="A31" s="28" t="n">
        <v>25</v>
      </c>
      <c r="B31" s="14" t="str">
        <f aca="false">IFERROR(INDEX(Tablero!$A$5:$A$104,MATCH($A31,Tablero!$J$5:$J$104,0))&amp;"","")</f>
        <v/>
      </c>
      <c r="C31" s="14" t="str">
        <f aca="false">IFERROR(INDEX(Tablero!$B$5:$B$104,MATCH($A31,Tablero!$J$5:$J$104,0))&amp;"","")</f>
        <v/>
      </c>
      <c r="D31" s="29" t="str">
        <f aca="false">IFERROR(INDEX(Tablero!$R$5:$R$104,MATCH($A31,Tablero!$J$5:$J$104,0)),"")</f>
        <v/>
      </c>
      <c r="E31" s="29" t="str">
        <f aca="false">IFERROR(INDEX(Tablero!$S$5:$S$104,MATCH($A31,Tablero!$J$5:$J$104,0)),"")</f>
        <v/>
      </c>
      <c r="F31" s="30" t="str">
        <f aca="false">IF(OR($D31="",$E31=""),"",IF(AND($D31&lt;=F$4+4,$E31&gt;=F$4),1,""))</f>
        <v/>
      </c>
      <c r="G31" s="30" t="str">
        <f aca="false">IF(OR($D31="",$E31=""),"",IF(AND($D31&lt;=G$4+4,$E31&gt;=G$4),1,""))</f>
        <v/>
      </c>
      <c r="H31" s="30" t="str">
        <f aca="false">IF(OR($D31="",$E31=""),"",IF(AND($D31&lt;=H$4+4,$E31&gt;=H$4),1,""))</f>
        <v/>
      </c>
      <c r="I31" s="30" t="str">
        <f aca="false">IF(OR($D31="",$E31=""),"",IF(AND($D31&lt;=I$4+4,$E31&gt;=I$4),1,""))</f>
        <v/>
      </c>
      <c r="J31" s="30" t="str">
        <f aca="false">IF(OR($D31="",$E31=""),"",IF(AND($D31&lt;=J$4+4,$E31&gt;=J$4),1,""))</f>
        <v/>
      </c>
      <c r="K31" s="30" t="str">
        <f aca="false">IF(OR($D31="",$E31=""),"",IF(AND($D31&lt;=K$4+4,$E31&gt;=K$4),1,""))</f>
        <v/>
      </c>
      <c r="L31" s="30" t="str">
        <f aca="false">IF(OR($D31="",$E31=""),"",IF(AND($D31&lt;=L$4+4,$E31&gt;=L$4),1,""))</f>
        <v/>
      </c>
      <c r="M31" s="30" t="str">
        <f aca="false">IF(OR($D31="",$E31=""),"",IF(AND($D31&lt;=M$4+4,$E31&gt;=M$4),1,""))</f>
        <v/>
      </c>
      <c r="N31" s="30" t="str">
        <f aca="false">IF(OR($D31="",$E31=""),"",IF(AND($D31&lt;=N$4+4,$E31&gt;=N$4),1,""))</f>
        <v/>
      </c>
      <c r="O31" s="30" t="str">
        <f aca="false">IF(OR($D31="",$E31=""),"",IF(AND($D31&lt;=O$4+4,$E31&gt;=O$4),1,""))</f>
        <v/>
      </c>
      <c r="P31" s="30" t="str">
        <f aca="false">IF(OR($D31="",$E31=""),"",IF(AND($D31&lt;=P$4+4,$E31&gt;=P$4),1,""))</f>
        <v/>
      </c>
      <c r="Q31" s="30" t="str">
        <f aca="false">IF(OR($D31="",$E31=""),"",IF(AND($D31&lt;=Q$4+4,$E31&gt;=Q$4),1,""))</f>
        <v/>
      </c>
      <c r="R31" s="30" t="str">
        <f aca="false">IF(OR($D31="",$E31=""),"",IF(AND($D31&lt;=R$4+4,$E31&gt;=R$4),1,""))</f>
        <v/>
      </c>
      <c r="S31" s="30" t="str">
        <f aca="false">IF(OR($D31="",$E31=""),"",IF(AND($D31&lt;=S$4+4,$E31&gt;=S$4),1,""))</f>
        <v/>
      </c>
      <c r="T31" s="30" t="str">
        <f aca="false">IF(OR($D31="",$E31=""),"",IF(AND($D31&lt;=T$4+4,$E31&gt;=T$4),1,""))</f>
        <v/>
      </c>
      <c r="U31" s="30" t="str">
        <f aca="false">IF(OR($D31="",$E31=""),"",IF(AND($D31&lt;=U$4+4,$E31&gt;=U$4),1,""))</f>
        <v/>
      </c>
      <c r="V31" s="30" t="str">
        <f aca="false">IF(OR($D31="",$E31=""),"",IF(AND($D31&lt;=V$4+4,$E31&gt;=V$4),1,""))</f>
        <v/>
      </c>
      <c r="W31" s="30" t="str">
        <f aca="false">IF(OR($D31="",$E31=""),"",IF(AND($D31&lt;=W$4+4,$E31&gt;=W$4),1,""))</f>
        <v/>
      </c>
      <c r="X31" s="30" t="str">
        <f aca="false">IF(OR($D31="",$E31=""),"",IF(AND($D31&lt;=X$4+4,$E31&gt;=X$4),1,""))</f>
        <v/>
      </c>
      <c r="Y31" s="30" t="str">
        <f aca="false">IF(OR($D31="",$E31=""),"",IF(AND($D31&lt;=Y$4+4,$E31&gt;=Y$4),1,""))</f>
        <v/>
      </c>
      <c r="Z31" s="30" t="str">
        <f aca="false">IF(OR($D31="",$E31=""),"",IF(AND($D31&lt;=Z$4+4,$E31&gt;=Z$4),1,""))</f>
        <v/>
      </c>
      <c r="AA31" s="30" t="str">
        <f aca="false">IF(OR($D31="",$E31=""),"",IF(AND($D31&lt;=AA$4+4,$E31&gt;=AA$4),1,""))</f>
        <v/>
      </c>
      <c r="AB31" s="30" t="str">
        <f aca="false">IF(OR($D31="",$E31=""),"",IF(AND($D31&lt;=AB$4+4,$E31&gt;=AB$4),1,""))</f>
        <v/>
      </c>
      <c r="AC31" s="30" t="str">
        <f aca="false">IF(OR($D31="",$E31=""),"",IF(AND($D31&lt;=AC$4+4,$E31&gt;=AC$4),1,""))</f>
        <v/>
      </c>
      <c r="AD31" s="30" t="str">
        <f aca="false">IF(OR($D31="",$E31=""),"",IF(AND($D31&lt;=AD$4+4,$E31&gt;=AD$4),1,""))</f>
        <v/>
      </c>
      <c r="AE31" s="30" t="str">
        <f aca="false">IF(OR($D31="",$E31=""),"",IF(AND($D31&lt;=AE$4+4,$E31&gt;=AE$4),1,""))</f>
        <v/>
      </c>
    </row>
    <row r="32" customFormat="false" ht="15" hidden="false" customHeight="false" outlineLevel="0" collapsed="false">
      <c r="A32" s="28" t="n">
        <v>26</v>
      </c>
      <c r="B32" s="14" t="str">
        <f aca="false">IFERROR(INDEX(Tablero!$A$5:$A$104,MATCH($A32,Tablero!$J$5:$J$104,0))&amp;"","")</f>
        <v/>
      </c>
      <c r="C32" s="14" t="str">
        <f aca="false">IFERROR(INDEX(Tablero!$B$5:$B$104,MATCH($A32,Tablero!$J$5:$J$104,0))&amp;"","")</f>
        <v/>
      </c>
      <c r="D32" s="29" t="str">
        <f aca="false">IFERROR(INDEX(Tablero!$R$5:$R$104,MATCH($A32,Tablero!$J$5:$J$104,0)),"")</f>
        <v/>
      </c>
      <c r="E32" s="29" t="str">
        <f aca="false">IFERROR(INDEX(Tablero!$S$5:$S$104,MATCH($A32,Tablero!$J$5:$J$104,0)),"")</f>
        <v/>
      </c>
      <c r="F32" s="30" t="str">
        <f aca="false">IF(OR($D32="",$E32=""),"",IF(AND($D32&lt;=F$4+4,$E32&gt;=F$4),1,""))</f>
        <v/>
      </c>
      <c r="G32" s="30" t="str">
        <f aca="false">IF(OR($D32="",$E32=""),"",IF(AND($D32&lt;=G$4+4,$E32&gt;=G$4),1,""))</f>
        <v/>
      </c>
      <c r="H32" s="30" t="str">
        <f aca="false">IF(OR($D32="",$E32=""),"",IF(AND($D32&lt;=H$4+4,$E32&gt;=H$4),1,""))</f>
        <v/>
      </c>
      <c r="I32" s="30" t="str">
        <f aca="false">IF(OR($D32="",$E32=""),"",IF(AND($D32&lt;=I$4+4,$E32&gt;=I$4),1,""))</f>
        <v/>
      </c>
      <c r="J32" s="30" t="str">
        <f aca="false">IF(OR($D32="",$E32=""),"",IF(AND($D32&lt;=J$4+4,$E32&gt;=J$4),1,""))</f>
        <v/>
      </c>
      <c r="K32" s="30" t="str">
        <f aca="false">IF(OR($D32="",$E32=""),"",IF(AND($D32&lt;=K$4+4,$E32&gt;=K$4),1,""))</f>
        <v/>
      </c>
      <c r="L32" s="30" t="str">
        <f aca="false">IF(OR($D32="",$E32=""),"",IF(AND($D32&lt;=L$4+4,$E32&gt;=L$4),1,""))</f>
        <v/>
      </c>
      <c r="M32" s="30" t="str">
        <f aca="false">IF(OR($D32="",$E32=""),"",IF(AND($D32&lt;=M$4+4,$E32&gt;=M$4),1,""))</f>
        <v/>
      </c>
      <c r="N32" s="30" t="str">
        <f aca="false">IF(OR($D32="",$E32=""),"",IF(AND($D32&lt;=N$4+4,$E32&gt;=N$4),1,""))</f>
        <v/>
      </c>
      <c r="O32" s="30" t="str">
        <f aca="false">IF(OR($D32="",$E32=""),"",IF(AND($D32&lt;=O$4+4,$E32&gt;=O$4),1,""))</f>
        <v/>
      </c>
      <c r="P32" s="30" t="str">
        <f aca="false">IF(OR($D32="",$E32=""),"",IF(AND($D32&lt;=P$4+4,$E32&gt;=P$4),1,""))</f>
        <v/>
      </c>
      <c r="Q32" s="30" t="str">
        <f aca="false">IF(OR($D32="",$E32=""),"",IF(AND($D32&lt;=Q$4+4,$E32&gt;=Q$4),1,""))</f>
        <v/>
      </c>
      <c r="R32" s="30" t="str">
        <f aca="false">IF(OR($D32="",$E32=""),"",IF(AND($D32&lt;=R$4+4,$E32&gt;=R$4),1,""))</f>
        <v/>
      </c>
      <c r="S32" s="30" t="str">
        <f aca="false">IF(OR($D32="",$E32=""),"",IF(AND($D32&lt;=S$4+4,$E32&gt;=S$4),1,""))</f>
        <v/>
      </c>
      <c r="T32" s="30" t="str">
        <f aca="false">IF(OR($D32="",$E32=""),"",IF(AND($D32&lt;=T$4+4,$E32&gt;=T$4),1,""))</f>
        <v/>
      </c>
      <c r="U32" s="30" t="str">
        <f aca="false">IF(OR($D32="",$E32=""),"",IF(AND($D32&lt;=U$4+4,$E32&gt;=U$4),1,""))</f>
        <v/>
      </c>
      <c r="V32" s="30" t="str">
        <f aca="false">IF(OR($D32="",$E32=""),"",IF(AND($D32&lt;=V$4+4,$E32&gt;=V$4),1,""))</f>
        <v/>
      </c>
      <c r="W32" s="30" t="str">
        <f aca="false">IF(OR($D32="",$E32=""),"",IF(AND($D32&lt;=W$4+4,$E32&gt;=W$4),1,""))</f>
        <v/>
      </c>
      <c r="X32" s="30" t="str">
        <f aca="false">IF(OR($D32="",$E32=""),"",IF(AND($D32&lt;=X$4+4,$E32&gt;=X$4),1,""))</f>
        <v/>
      </c>
      <c r="Y32" s="30" t="str">
        <f aca="false">IF(OR($D32="",$E32=""),"",IF(AND($D32&lt;=Y$4+4,$E32&gt;=Y$4),1,""))</f>
        <v/>
      </c>
      <c r="Z32" s="30" t="str">
        <f aca="false">IF(OR($D32="",$E32=""),"",IF(AND($D32&lt;=Z$4+4,$E32&gt;=Z$4),1,""))</f>
        <v/>
      </c>
      <c r="AA32" s="30" t="str">
        <f aca="false">IF(OR($D32="",$E32=""),"",IF(AND($D32&lt;=AA$4+4,$E32&gt;=AA$4),1,""))</f>
        <v/>
      </c>
      <c r="AB32" s="30" t="str">
        <f aca="false">IF(OR($D32="",$E32=""),"",IF(AND($D32&lt;=AB$4+4,$E32&gt;=AB$4),1,""))</f>
        <v/>
      </c>
      <c r="AC32" s="30" t="str">
        <f aca="false">IF(OR($D32="",$E32=""),"",IF(AND($D32&lt;=AC$4+4,$E32&gt;=AC$4),1,""))</f>
        <v/>
      </c>
      <c r="AD32" s="30" t="str">
        <f aca="false">IF(OR($D32="",$E32=""),"",IF(AND($D32&lt;=AD$4+4,$E32&gt;=AD$4),1,""))</f>
        <v/>
      </c>
      <c r="AE32" s="30" t="str">
        <f aca="false">IF(OR($D32="",$E32=""),"",IF(AND($D32&lt;=AE$4+4,$E32&gt;=AE$4),1,""))</f>
        <v/>
      </c>
    </row>
    <row r="33" customFormat="false" ht="15" hidden="false" customHeight="false" outlineLevel="0" collapsed="false">
      <c r="A33" s="28" t="n">
        <v>27</v>
      </c>
      <c r="B33" s="14" t="str">
        <f aca="false">IFERROR(INDEX(Tablero!$A$5:$A$104,MATCH($A33,Tablero!$J$5:$J$104,0))&amp;"","")</f>
        <v/>
      </c>
      <c r="C33" s="14" t="str">
        <f aca="false">IFERROR(INDEX(Tablero!$B$5:$B$104,MATCH($A33,Tablero!$J$5:$J$104,0))&amp;"","")</f>
        <v/>
      </c>
      <c r="D33" s="29" t="str">
        <f aca="false">IFERROR(INDEX(Tablero!$R$5:$R$104,MATCH($A33,Tablero!$J$5:$J$104,0)),"")</f>
        <v/>
      </c>
      <c r="E33" s="29" t="str">
        <f aca="false">IFERROR(INDEX(Tablero!$S$5:$S$104,MATCH($A33,Tablero!$J$5:$J$104,0)),"")</f>
        <v/>
      </c>
      <c r="F33" s="30" t="str">
        <f aca="false">IF(OR($D33="",$E33=""),"",IF(AND($D33&lt;=F$4+4,$E33&gt;=F$4),1,""))</f>
        <v/>
      </c>
      <c r="G33" s="30" t="str">
        <f aca="false">IF(OR($D33="",$E33=""),"",IF(AND($D33&lt;=G$4+4,$E33&gt;=G$4),1,""))</f>
        <v/>
      </c>
      <c r="H33" s="30" t="str">
        <f aca="false">IF(OR($D33="",$E33=""),"",IF(AND($D33&lt;=H$4+4,$E33&gt;=H$4),1,""))</f>
        <v/>
      </c>
      <c r="I33" s="30" t="str">
        <f aca="false">IF(OR($D33="",$E33=""),"",IF(AND($D33&lt;=I$4+4,$E33&gt;=I$4),1,""))</f>
        <v/>
      </c>
      <c r="J33" s="30" t="str">
        <f aca="false">IF(OR($D33="",$E33=""),"",IF(AND($D33&lt;=J$4+4,$E33&gt;=J$4),1,""))</f>
        <v/>
      </c>
      <c r="K33" s="30" t="str">
        <f aca="false">IF(OR($D33="",$E33=""),"",IF(AND($D33&lt;=K$4+4,$E33&gt;=K$4),1,""))</f>
        <v/>
      </c>
      <c r="L33" s="30" t="str">
        <f aca="false">IF(OR($D33="",$E33=""),"",IF(AND($D33&lt;=L$4+4,$E33&gt;=L$4),1,""))</f>
        <v/>
      </c>
      <c r="M33" s="30" t="str">
        <f aca="false">IF(OR($D33="",$E33=""),"",IF(AND($D33&lt;=M$4+4,$E33&gt;=M$4),1,""))</f>
        <v/>
      </c>
      <c r="N33" s="30" t="str">
        <f aca="false">IF(OR($D33="",$E33=""),"",IF(AND($D33&lt;=N$4+4,$E33&gt;=N$4),1,""))</f>
        <v/>
      </c>
      <c r="O33" s="30" t="str">
        <f aca="false">IF(OR($D33="",$E33=""),"",IF(AND($D33&lt;=O$4+4,$E33&gt;=O$4),1,""))</f>
        <v/>
      </c>
      <c r="P33" s="30" t="str">
        <f aca="false">IF(OR($D33="",$E33=""),"",IF(AND($D33&lt;=P$4+4,$E33&gt;=P$4),1,""))</f>
        <v/>
      </c>
      <c r="Q33" s="30" t="str">
        <f aca="false">IF(OR($D33="",$E33=""),"",IF(AND($D33&lt;=Q$4+4,$E33&gt;=Q$4),1,""))</f>
        <v/>
      </c>
      <c r="R33" s="30" t="str">
        <f aca="false">IF(OR($D33="",$E33=""),"",IF(AND($D33&lt;=R$4+4,$E33&gt;=R$4),1,""))</f>
        <v/>
      </c>
      <c r="S33" s="30" t="str">
        <f aca="false">IF(OR($D33="",$E33=""),"",IF(AND($D33&lt;=S$4+4,$E33&gt;=S$4),1,""))</f>
        <v/>
      </c>
      <c r="T33" s="30" t="str">
        <f aca="false">IF(OR($D33="",$E33=""),"",IF(AND($D33&lt;=T$4+4,$E33&gt;=T$4),1,""))</f>
        <v/>
      </c>
      <c r="U33" s="30" t="str">
        <f aca="false">IF(OR($D33="",$E33=""),"",IF(AND($D33&lt;=U$4+4,$E33&gt;=U$4),1,""))</f>
        <v/>
      </c>
      <c r="V33" s="30" t="str">
        <f aca="false">IF(OR($D33="",$E33=""),"",IF(AND($D33&lt;=V$4+4,$E33&gt;=V$4),1,""))</f>
        <v/>
      </c>
      <c r="W33" s="30" t="str">
        <f aca="false">IF(OR($D33="",$E33=""),"",IF(AND($D33&lt;=W$4+4,$E33&gt;=W$4),1,""))</f>
        <v/>
      </c>
      <c r="X33" s="30" t="str">
        <f aca="false">IF(OR($D33="",$E33=""),"",IF(AND($D33&lt;=X$4+4,$E33&gt;=X$4),1,""))</f>
        <v/>
      </c>
      <c r="Y33" s="30" t="str">
        <f aca="false">IF(OR($D33="",$E33=""),"",IF(AND($D33&lt;=Y$4+4,$E33&gt;=Y$4),1,""))</f>
        <v/>
      </c>
      <c r="Z33" s="30" t="str">
        <f aca="false">IF(OR($D33="",$E33=""),"",IF(AND($D33&lt;=Z$4+4,$E33&gt;=Z$4),1,""))</f>
        <v/>
      </c>
      <c r="AA33" s="30" t="str">
        <f aca="false">IF(OR($D33="",$E33=""),"",IF(AND($D33&lt;=AA$4+4,$E33&gt;=AA$4),1,""))</f>
        <v/>
      </c>
      <c r="AB33" s="30" t="str">
        <f aca="false">IF(OR($D33="",$E33=""),"",IF(AND($D33&lt;=AB$4+4,$E33&gt;=AB$4),1,""))</f>
        <v/>
      </c>
      <c r="AC33" s="30" t="str">
        <f aca="false">IF(OR($D33="",$E33=""),"",IF(AND($D33&lt;=AC$4+4,$E33&gt;=AC$4),1,""))</f>
        <v/>
      </c>
      <c r="AD33" s="30" t="str">
        <f aca="false">IF(OR($D33="",$E33=""),"",IF(AND($D33&lt;=AD$4+4,$E33&gt;=AD$4),1,""))</f>
        <v/>
      </c>
      <c r="AE33" s="30" t="str">
        <f aca="false">IF(OR($D33="",$E33=""),"",IF(AND($D33&lt;=AE$4+4,$E33&gt;=AE$4),1,""))</f>
        <v/>
      </c>
    </row>
    <row r="34" customFormat="false" ht="15" hidden="false" customHeight="false" outlineLevel="0" collapsed="false">
      <c r="A34" s="28" t="n">
        <v>28</v>
      </c>
      <c r="B34" s="14" t="str">
        <f aca="false">IFERROR(INDEX(Tablero!$A$5:$A$104,MATCH($A34,Tablero!$J$5:$J$104,0))&amp;"","")</f>
        <v/>
      </c>
      <c r="C34" s="14" t="str">
        <f aca="false">IFERROR(INDEX(Tablero!$B$5:$B$104,MATCH($A34,Tablero!$J$5:$J$104,0))&amp;"","")</f>
        <v/>
      </c>
      <c r="D34" s="29" t="str">
        <f aca="false">IFERROR(INDEX(Tablero!$R$5:$R$104,MATCH($A34,Tablero!$J$5:$J$104,0)),"")</f>
        <v/>
      </c>
      <c r="E34" s="29" t="str">
        <f aca="false">IFERROR(INDEX(Tablero!$S$5:$S$104,MATCH($A34,Tablero!$J$5:$J$104,0)),"")</f>
        <v/>
      </c>
      <c r="F34" s="30" t="str">
        <f aca="false">IF(OR($D34="",$E34=""),"",IF(AND($D34&lt;=F$4+4,$E34&gt;=F$4),1,""))</f>
        <v/>
      </c>
      <c r="G34" s="30" t="str">
        <f aca="false">IF(OR($D34="",$E34=""),"",IF(AND($D34&lt;=G$4+4,$E34&gt;=G$4),1,""))</f>
        <v/>
      </c>
      <c r="H34" s="30" t="str">
        <f aca="false">IF(OR($D34="",$E34=""),"",IF(AND($D34&lt;=H$4+4,$E34&gt;=H$4),1,""))</f>
        <v/>
      </c>
      <c r="I34" s="30" t="str">
        <f aca="false">IF(OR($D34="",$E34=""),"",IF(AND($D34&lt;=I$4+4,$E34&gt;=I$4),1,""))</f>
        <v/>
      </c>
      <c r="J34" s="30" t="str">
        <f aca="false">IF(OR($D34="",$E34=""),"",IF(AND($D34&lt;=J$4+4,$E34&gt;=J$4),1,""))</f>
        <v/>
      </c>
      <c r="K34" s="30" t="str">
        <f aca="false">IF(OR($D34="",$E34=""),"",IF(AND($D34&lt;=K$4+4,$E34&gt;=K$4),1,""))</f>
        <v/>
      </c>
      <c r="L34" s="30" t="str">
        <f aca="false">IF(OR($D34="",$E34=""),"",IF(AND($D34&lt;=L$4+4,$E34&gt;=L$4),1,""))</f>
        <v/>
      </c>
      <c r="M34" s="30" t="str">
        <f aca="false">IF(OR($D34="",$E34=""),"",IF(AND($D34&lt;=M$4+4,$E34&gt;=M$4),1,""))</f>
        <v/>
      </c>
      <c r="N34" s="30" t="str">
        <f aca="false">IF(OR($D34="",$E34=""),"",IF(AND($D34&lt;=N$4+4,$E34&gt;=N$4),1,""))</f>
        <v/>
      </c>
      <c r="O34" s="30" t="str">
        <f aca="false">IF(OR($D34="",$E34=""),"",IF(AND($D34&lt;=O$4+4,$E34&gt;=O$4),1,""))</f>
        <v/>
      </c>
      <c r="P34" s="30" t="str">
        <f aca="false">IF(OR($D34="",$E34=""),"",IF(AND($D34&lt;=P$4+4,$E34&gt;=P$4),1,""))</f>
        <v/>
      </c>
      <c r="Q34" s="30" t="str">
        <f aca="false">IF(OR($D34="",$E34=""),"",IF(AND($D34&lt;=Q$4+4,$E34&gt;=Q$4),1,""))</f>
        <v/>
      </c>
      <c r="R34" s="30" t="str">
        <f aca="false">IF(OR($D34="",$E34=""),"",IF(AND($D34&lt;=R$4+4,$E34&gt;=R$4),1,""))</f>
        <v/>
      </c>
      <c r="S34" s="30" t="str">
        <f aca="false">IF(OR($D34="",$E34=""),"",IF(AND($D34&lt;=S$4+4,$E34&gt;=S$4),1,""))</f>
        <v/>
      </c>
      <c r="T34" s="30" t="str">
        <f aca="false">IF(OR($D34="",$E34=""),"",IF(AND($D34&lt;=T$4+4,$E34&gt;=T$4),1,""))</f>
        <v/>
      </c>
      <c r="U34" s="30" t="str">
        <f aca="false">IF(OR($D34="",$E34=""),"",IF(AND($D34&lt;=U$4+4,$E34&gt;=U$4),1,""))</f>
        <v/>
      </c>
      <c r="V34" s="30" t="str">
        <f aca="false">IF(OR($D34="",$E34=""),"",IF(AND($D34&lt;=V$4+4,$E34&gt;=V$4),1,""))</f>
        <v/>
      </c>
      <c r="W34" s="30" t="str">
        <f aca="false">IF(OR($D34="",$E34=""),"",IF(AND($D34&lt;=W$4+4,$E34&gt;=W$4),1,""))</f>
        <v/>
      </c>
      <c r="X34" s="30" t="str">
        <f aca="false">IF(OR($D34="",$E34=""),"",IF(AND($D34&lt;=X$4+4,$E34&gt;=X$4),1,""))</f>
        <v/>
      </c>
      <c r="Y34" s="30" t="str">
        <f aca="false">IF(OR($D34="",$E34=""),"",IF(AND($D34&lt;=Y$4+4,$E34&gt;=Y$4),1,""))</f>
        <v/>
      </c>
      <c r="Z34" s="30" t="str">
        <f aca="false">IF(OR($D34="",$E34=""),"",IF(AND($D34&lt;=Z$4+4,$E34&gt;=Z$4),1,""))</f>
        <v/>
      </c>
      <c r="AA34" s="30" t="str">
        <f aca="false">IF(OR($D34="",$E34=""),"",IF(AND($D34&lt;=AA$4+4,$E34&gt;=AA$4),1,""))</f>
        <v/>
      </c>
      <c r="AB34" s="30" t="str">
        <f aca="false">IF(OR($D34="",$E34=""),"",IF(AND($D34&lt;=AB$4+4,$E34&gt;=AB$4),1,""))</f>
        <v/>
      </c>
      <c r="AC34" s="30" t="str">
        <f aca="false">IF(OR($D34="",$E34=""),"",IF(AND($D34&lt;=AC$4+4,$E34&gt;=AC$4),1,""))</f>
        <v/>
      </c>
      <c r="AD34" s="30" t="str">
        <f aca="false">IF(OR($D34="",$E34=""),"",IF(AND($D34&lt;=AD$4+4,$E34&gt;=AD$4),1,""))</f>
        <v/>
      </c>
      <c r="AE34" s="30" t="str">
        <f aca="false">IF(OR($D34="",$E34=""),"",IF(AND($D34&lt;=AE$4+4,$E34&gt;=AE$4),1,""))</f>
        <v/>
      </c>
    </row>
    <row r="35" customFormat="false" ht="15" hidden="false" customHeight="false" outlineLevel="0" collapsed="false">
      <c r="A35" s="28" t="n">
        <v>29</v>
      </c>
      <c r="B35" s="14" t="str">
        <f aca="false">IFERROR(INDEX(Tablero!$A$5:$A$104,MATCH($A35,Tablero!$J$5:$J$104,0))&amp;"","")</f>
        <v/>
      </c>
      <c r="C35" s="14" t="str">
        <f aca="false">IFERROR(INDEX(Tablero!$B$5:$B$104,MATCH($A35,Tablero!$J$5:$J$104,0))&amp;"","")</f>
        <v/>
      </c>
      <c r="D35" s="29" t="str">
        <f aca="false">IFERROR(INDEX(Tablero!$R$5:$R$104,MATCH($A35,Tablero!$J$5:$J$104,0)),"")</f>
        <v/>
      </c>
      <c r="E35" s="29" t="str">
        <f aca="false">IFERROR(INDEX(Tablero!$S$5:$S$104,MATCH($A35,Tablero!$J$5:$J$104,0)),"")</f>
        <v/>
      </c>
      <c r="F35" s="30" t="str">
        <f aca="false">IF(OR($D35="",$E35=""),"",IF(AND($D35&lt;=F$4+4,$E35&gt;=F$4),1,""))</f>
        <v/>
      </c>
      <c r="G35" s="30" t="str">
        <f aca="false">IF(OR($D35="",$E35=""),"",IF(AND($D35&lt;=G$4+4,$E35&gt;=G$4),1,""))</f>
        <v/>
      </c>
      <c r="H35" s="30" t="str">
        <f aca="false">IF(OR($D35="",$E35=""),"",IF(AND($D35&lt;=H$4+4,$E35&gt;=H$4),1,""))</f>
        <v/>
      </c>
      <c r="I35" s="30" t="str">
        <f aca="false">IF(OR($D35="",$E35=""),"",IF(AND($D35&lt;=I$4+4,$E35&gt;=I$4),1,""))</f>
        <v/>
      </c>
      <c r="J35" s="30" t="str">
        <f aca="false">IF(OR($D35="",$E35=""),"",IF(AND($D35&lt;=J$4+4,$E35&gt;=J$4),1,""))</f>
        <v/>
      </c>
      <c r="K35" s="30" t="str">
        <f aca="false">IF(OR($D35="",$E35=""),"",IF(AND($D35&lt;=K$4+4,$E35&gt;=K$4),1,""))</f>
        <v/>
      </c>
      <c r="L35" s="30" t="str">
        <f aca="false">IF(OR($D35="",$E35=""),"",IF(AND($D35&lt;=L$4+4,$E35&gt;=L$4),1,""))</f>
        <v/>
      </c>
      <c r="M35" s="30" t="str">
        <f aca="false">IF(OR($D35="",$E35=""),"",IF(AND($D35&lt;=M$4+4,$E35&gt;=M$4),1,""))</f>
        <v/>
      </c>
      <c r="N35" s="30" t="str">
        <f aca="false">IF(OR($D35="",$E35=""),"",IF(AND($D35&lt;=N$4+4,$E35&gt;=N$4),1,""))</f>
        <v/>
      </c>
      <c r="O35" s="30" t="str">
        <f aca="false">IF(OR($D35="",$E35=""),"",IF(AND($D35&lt;=O$4+4,$E35&gt;=O$4),1,""))</f>
        <v/>
      </c>
      <c r="P35" s="30" t="str">
        <f aca="false">IF(OR($D35="",$E35=""),"",IF(AND($D35&lt;=P$4+4,$E35&gt;=P$4),1,""))</f>
        <v/>
      </c>
      <c r="Q35" s="30" t="str">
        <f aca="false">IF(OR($D35="",$E35=""),"",IF(AND($D35&lt;=Q$4+4,$E35&gt;=Q$4),1,""))</f>
        <v/>
      </c>
      <c r="R35" s="30" t="str">
        <f aca="false">IF(OR($D35="",$E35=""),"",IF(AND($D35&lt;=R$4+4,$E35&gt;=R$4),1,""))</f>
        <v/>
      </c>
      <c r="S35" s="30" t="str">
        <f aca="false">IF(OR($D35="",$E35=""),"",IF(AND($D35&lt;=S$4+4,$E35&gt;=S$4),1,""))</f>
        <v/>
      </c>
      <c r="T35" s="30" t="str">
        <f aca="false">IF(OR($D35="",$E35=""),"",IF(AND($D35&lt;=T$4+4,$E35&gt;=T$4),1,""))</f>
        <v/>
      </c>
      <c r="U35" s="30" t="str">
        <f aca="false">IF(OR($D35="",$E35=""),"",IF(AND($D35&lt;=U$4+4,$E35&gt;=U$4),1,""))</f>
        <v/>
      </c>
      <c r="V35" s="30" t="str">
        <f aca="false">IF(OR($D35="",$E35=""),"",IF(AND($D35&lt;=V$4+4,$E35&gt;=V$4),1,""))</f>
        <v/>
      </c>
      <c r="W35" s="30" t="str">
        <f aca="false">IF(OR($D35="",$E35=""),"",IF(AND($D35&lt;=W$4+4,$E35&gt;=W$4),1,""))</f>
        <v/>
      </c>
      <c r="X35" s="30" t="str">
        <f aca="false">IF(OR($D35="",$E35=""),"",IF(AND($D35&lt;=X$4+4,$E35&gt;=X$4),1,""))</f>
        <v/>
      </c>
      <c r="Y35" s="30" t="str">
        <f aca="false">IF(OR($D35="",$E35=""),"",IF(AND($D35&lt;=Y$4+4,$E35&gt;=Y$4),1,""))</f>
        <v/>
      </c>
      <c r="Z35" s="30" t="str">
        <f aca="false">IF(OR($D35="",$E35=""),"",IF(AND($D35&lt;=Z$4+4,$E35&gt;=Z$4),1,""))</f>
        <v/>
      </c>
      <c r="AA35" s="30" t="str">
        <f aca="false">IF(OR($D35="",$E35=""),"",IF(AND($D35&lt;=AA$4+4,$E35&gt;=AA$4),1,""))</f>
        <v/>
      </c>
      <c r="AB35" s="30" t="str">
        <f aca="false">IF(OR($D35="",$E35=""),"",IF(AND($D35&lt;=AB$4+4,$E35&gt;=AB$4),1,""))</f>
        <v/>
      </c>
      <c r="AC35" s="30" t="str">
        <f aca="false">IF(OR($D35="",$E35=""),"",IF(AND($D35&lt;=AC$4+4,$E35&gt;=AC$4),1,""))</f>
        <v/>
      </c>
      <c r="AD35" s="30" t="str">
        <f aca="false">IF(OR($D35="",$E35=""),"",IF(AND($D35&lt;=AD$4+4,$E35&gt;=AD$4),1,""))</f>
        <v/>
      </c>
      <c r="AE35" s="30" t="str">
        <f aca="false">IF(OR($D35="",$E35=""),"",IF(AND($D35&lt;=AE$4+4,$E35&gt;=AE$4),1,""))</f>
        <v/>
      </c>
    </row>
    <row r="36" customFormat="false" ht="15" hidden="false" customHeight="false" outlineLevel="0" collapsed="false">
      <c r="A36" s="28" t="n">
        <v>30</v>
      </c>
      <c r="B36" s="14" t="str">
        <f aca="false">IFERROR(INDEX(Tablero!$A$5:$A$104,MATCH($A36,Tablero!$J$5:$J$104,0))&amp;"","")</f>
        <v/>
      </c>
      <c r="C36" s="14" t="str">
        <f aca="false">IFERROR(INDEX(Tablero!$B$5:$B$104,MATCH($A36,Tablero!$J$5:$J$104,0))&amp;"","")</f>
        <v/>
      </c>
      <c r="D36" s="29" t="str">
        <f aca="false">IFERROR(INDEX(Tablero!$R$5:$R$104,MATCH($A36,Tablero!$J$5:$J$104,0)),"")</f>
        <v/>
      </c>
      <c r="E36" s="29" t="str">
        <f aca="false">IFERROR(INDEX(Tablero!$S$5:$S$104,MATCH($A36,Tablero!$J$5:$J$104,0)),"")</f>
        <v/>
      </c>
      <c r="F36" s="30" t="str">
        <f aca="false">IF(OR($D36="",$E36=""),"",IF(AND($D36&lt;=F$4+4,$E36&gt;=F$4),1,""))</f>
        <v/>
      </c>
      <c r="G36" s="30" t="str">
        <f aca="false">IF(OR($D36="",$E36=""),"",IF(AND($D36&lt;=G$4+4,$E36&gt;=G$4),1,""))</f>
        <v/>
      </c>
      <c r="H36" s="30" t="str">
        <f aca="false">IF(OR($D36="",$E36=""),"",IF(AND($D36&lt;=H$4+4,$E36&gt;=H$4),1,""))</f>
        <v/>
      </c>
      <c r="I36" s="30" t="str">
        <f aca="false">IF(OR($D36="",$E36=""),"",IF(AND($D36&lt;=I$4+4,$E36&gt;=I$4),1,""))</f>
        <v/>
      </c>
      <c r="J36" s="30" t="str">
        <f aca="false">IF(OR($D36="",$E36=""),"",IF(AND($D36&lt;=J$4+4,$E36&gt;=J$4),1,""))</f>
        <v/>
      </c>
      <c r="K36" s="30" t="str">
        <f aca="false">IF(OR($D36="",$E36=""),"",IF(AND($D36&lt;=K$4+4,$E36&gt;=K$4),1,""))</f>
        <v/>
      </c>
      <c r="L36" s="30" t="str">
        <f aca="false">IF(OR($D36="",$E36=""),"",IF(AND($D36&lt;=L$4+4,$E36&gt;=L$4),1,""))</f>
        <v/>
      </c>
      <c r="M36" s="30" t="str">
        <f aca="false">IF(OR($D36="",$E36=""),"",IF(AND($D36&lt;=M$4+4,$E36&gt;=M$4),1,""))</f>
        <v/>
      </c>
      <c r="N36" s="30" t="str">
        <f aca="false">IF(OR($D36="",$E36=""),"",IF(AND($D36&lt;=N$4+4,$E36&gt;=N$4),1,""))</f>
        <v/>
      </c>
      <c r="O36" s="30" t="str">
        <f aca="false">IF(OR($D36="",$E36=""),"",IF(AND($D36&lt;=O$4+4,$E36&gt;=O$4),1,""))</f>
        <v/>
      </c>
      <c r="P36" s="30" t="str">
        <f aca="false">IF(OR($D36="",$E36=""),"",IF(AND($D36&lt;=P$4+4,$E36&gt;=P$4),1,""))</f>
        <v/>
      </c>
      <c r="Q36" s="30" t="str">
        <f aca="false">IF(OR($D36="",$E36=""),"",IF(AND($D36&lt;=Q$4+4,$E36&gt;=Q$4),1,""))</f>
        <v/>
      </c>
      <c r="R36" s="30" t="str">
        <f aca="false">IF(OR($D36="",$E36=""),"",IF(AND($D36&lt;=R$4+4,$E36&gt;=R$4),1,""))</f>
        <v/>
      </c>
      <c r="S36" s="30" t="str">
        <f aca="false">IF(OR($D36="",$E36=""),"",IF(AND($D36&lt;=S$4+4,$E36&gt;=S$4),1,""))</f>
        <v/>
      </c>
      <c r="T36" s="30" t="str">
        <f aca="false">IF(OR($D36="",$E36=""),"",IF(AND($D36&lt;=T$4+4,$E36&gt;=T$4),1,""))</f>
        <v/>
      </c>
      <c r="U36" s="30" t="str">
        <f aca="false">IF(OR($D36="",$E36=""),"",IF(AND($D36&lt;=U$4+4,$E36&gt;=U$4),1,""))</f>
        <v/>
      </c>
      <c r="V36" s="30" t="str">
        <f aca="false">IF(OR($D36="",$E36=""),"",IF(AND($D36&lt;=V$4+4,$E36&gt;=V$4),1,""))</f>
        <v/>
      </c>
      <c r="W36" s="30" t="str">
        <f aca="false">IF(OR($D36="",$E36=""),"",IF(AND($D36&lt;=W$4+4,$E36&gt;=W$4),1,""))</f>
        <v/>
      </c>
      <c r="X36" s="30" t="str">
        <f aca="false">IF(OR($D36="",$E36=""),"",IF(AND($D36&lt;=X$4+4,$E36&gt;=X$4),1,""))</f>
        <v/>
      </c>
      <c r="Y36" s="30" t="str">
        <f aca="false">IF(OR($D36="",$E36=""),"",IF(AND($D36&lt;=Y$4+4,$E36&gt;=Y$4),1,""))</f>
        <v/>
      </c>
      <c r="Z36" s="30" t="str">
        <f aca="false">IF(OR($D36="",$E36=""),"",IF(AND($D36&lt;=Z$4+4,$E36&gt;=Z$4),1,""))</f>
        <v/>
      </c>
      <c r="AA36" s="30" t="str">
        <f aca="false">IF(OR($D36="",$E36=""),"",IF(AND($D36&lt;=AA$4+4,$E36&gt;=AA$4),1,""))</f>
        <v/>
      </c>
      <c r="AB36" s="30" t="str">
        <f aca="false">IF(OR($D36="",$E36=""),"",IF(AND($D36&lt;=AB$4+4,$E36&gt;=AB$4),1,""))</f>
        <v/>
      </c>
      <c r="AC36" s="30" t="str">
        <f aca="false">IF(OR($D36="",$E36=""),"",IF(AND($D36&lt;=AC$4+4,$E36&gt;=AC$4),1,""))</f>
        <v/>
      </c>
      <c r="AD36" s="30" t="str">
        <f aca="false">IF(OR($D36="",$E36=""),"",IF(AND($D36&lt;=AD$4+4,$E36&gt;=AD$4),1,""))</f>
        <v/>
      </c>
      <c r="AE36" s="30" t="str">
        <f aca="false">IF(OR($D36="",$E36=""),"",IF(AND($D36&lt;=AE$4+4,$E36&gt;=AE$4),1,""))</f>
        <v/>
      </c>
    </row>
    <row r="37" customFormat="false" ht="15" hidden="false" customHeight="false" outlineLevel="0" collapsed="false">
      <c r="A37" s="28" t="n">
        <v>31</v>
      </c>
      <c r="B37" s="14" t="str">
        <f aca="false">IFERROR(INDEX(Tablero!$A$5:$A$104,MATCH($A37,Tablero!$J$5:$J$104,0))&amp;"","")</f>
        <v/>
      </c>
      <c r="C37" s="14" t="str">
        <f aca="false">IFERROR(INDEX(Tablero!$B$5:$B$104,MATCH($A37,Tablero!$J$5:$J$104,0))&amp;"","")</f>
        <v/>
      </c>
      <c r="D37" s="29" t="str">
        <f aca="false">IFERROR(INDEX(Tablero!$R$5:$R$104,MATCH($A37,Tablero!$J$5:$J$104,0)),"")</f>
        <v/>
      </c>
      <c r="E37" s="29" t="str">
        <f aca="false">IFERROR(INDEX(Tablero!$S$5:$S$104,MATCH($A37,Tablero!$J$5:$J$104,0)),"")</f>
        <v/>
      </c>
      <c r="F37" s="30" t="str">
        <f aca="false">IF(OR($D37="",$E37=""),"",IF(AND($D37&lt;=F$4+4,$E37&gt;=F$4),1,""))</f>
        <v/>
      </c>
      <c r="G37" s="30" t="str">
        <f aca="false">IF(OR($D37="",$E37=""),"",IF(AND($D37&lt;=G$4+4,$E37&gt;=G$4),1,""))</f>
        <v/>
      </c>
      <c r="H37" s="30" t="str">
        <f aca="false">IF(OR($D37="",$E37=""),"",IF(AND($D37&lt;=H$4+4,$E37&gt;=H$4),1,""))</f>
        <v/>
      </c>
      <c r="I37" s="30" t="str">
        <f aca="false">IF(OR($D37="",$E37=""),"",IF(AND($D37&lt;=I$4+4,$E37&gt;=I$4),1,""))</f>
        <v/>
      </c>
      <c r="J37" s="30" t="str">
        <f aca="false">IF(OR($D37="",$E37=""),"",IF(AND($D37&lt;=J$4+4,$E37&gt;=J$4),1,""))</f>
        <v/>
      </c>
      <c r="K37" s="30" t="str">
        <f aca="false">IF(OR($D37="",$E37=""),"",IF(AND($D37&lt;=K$4+4,$E37&gt;=K$4),1,""))</f>
        <v/>
      </c>
      <c r="L37" s="30" t="str">
        <f aca="false">IF(OR($D37="",$E37=""),"",IF(AND($D37&lt;=L$4+4,$E37&gt;=L$4),1,""))</f>
        <v/>
      </c>
      <c r="M37" s="30" t="str">
        <f aca="false">IF(OR($D37="",$E37=""),"",IF(AND($D37&lt;=M$4+4,$E37&gt;=M$4),1,""))</f>
        <v/>
      </c>
      <c r="N37" s="30" t="str">
        <f aca="false">IF(OR($D37="",$E37=""),"",IF(AND($D37&lt;=N$4+4,$E37&gt;=N$4),1,""))</f>
        <v/>
      </c>
      <c r="O37" s="30" t="str">
        <f aca="false">IF(OR($D37="",$E37=""),"",IF(AND($D37&lt;=O$4+4,$E37&gt;=O$4),1,""))</f>
        <v/>
      </c>
      <c r="P37" s="30" t="str">
        <f aca="false">IF(OR($D37="",$E37=""),"",IF(AND($D37&lt;=P$4+4,$E37&gt;=P$4),1,""))</f>
        <v/>
      </c>
      <c r="Q37" s="30" t="str">
        <f aca="false">IF(OR($D37="",$E37=""),"",IF(AND($D37&lt;=Q$4+4,$E37&gt;=Q$4),1,""))</f>
        <v/>
      </c>
      <c r="R37" s="30" t="str">
        <f aca="false">IF(OR($D37="",$E37=""),"",IF(AND($D37&lt;=R$4+4,$E37&gt;=R$4),1,""))</f>
        <v/>
      </c>
      <c r="S37" s="30" t="str">
        <f aca="false">IF(OR($D37="",$E37=""),"",IF(AND($D37&lt;=S$4+4,$E37&gt;=S$4),1,""))</f>
        <v/>
      </c>
      <c r="T37" s="30" t="str">
        <f aca="false">IF(OR($D37="",$E37=""),"",IF(AND($D37&lt;=T$4+4,$E37&gt;=T$4),1,""))</f>
        <v/>
      </c>
      <c r="U37" s="30" t="str">
        <f aca="false">IF(OR($D37="",$E37=""),"",IF(AND($D37&lt;=U$4+4,$E37&gt;=U$4),1,""))</f>
        <v/>
      </c>
      <c r="V37" s="30" t="str">
        <f aca="false">IF(OR($D37="",$E37=""),"",IF(AND($D37&lt;=V$4+4,$E37&gt;=V$4),1,""))</f>
        <v/>
      </c>
      <c r="W37" s="30" t="str">
        <f aca="false">IF(OR($D37="",$E37=""),"",IF(AND($D37&lt;=W$4+4,$E37&gt;=W$4),1,""))</f>
        <v/>
      </c>
      <c r="X37" s="30" t="str">
        <f aca="false">IF(OR($D37="",$E37=""),"",IF(AND($D37&lt;=X$4+4,$E37&gt;=X$4),1,""))</f>
        <v/>
      </c>
      <c r="Y37" s="30" t="str">
        <f aca="false">IF(OR($D37="",$E37=""),"",IF(AND($D37&lt;=Y$4+4,$E37&gt;=Y$4),1,""))</f>
        <v/>
      </c>
      <c r="Z37" s="30" t="str">
        <f aca="false">IF(OR($D37="",$E37=""),"",IF(AND($D37&lt;=Z$4+4,$E37&gt;=Z$4),1,""))</f>
        <v/>
      </c>
      <c r="AA37" s="30" t="str">
        <f aca="false">IF(OR($D37="",$E37=""),"",IF(AND($D37&lt;=AA$4+4,$E37&gt;=AA$4),1,""))</f>
        <v/>
      </c>
      <c r="AB37" s="30" t="str">
        <f aca="false">IF(OR($D37="",$E37=""),"",IF(AND($D37&lt;=AB$4+4,$E37&gt;=AB$4),1,""))</f>
        <v/>
      </c>
      <c r="AC37" s="30" t="str">
        <f aca="false">IF(OR($D37="",$E37=""),"",IF(AND($D37&lt;=AC$4+4,$E37&gt;=AC$4),1,""))</f>
        <v/>
      </c>
      <c r="AD37" s="30" t="str">
        <f aca="false">IF(OR($D37="",$E37=""),"",IF(AND($D37&lt;=AD$4+4,$E37&gt;=AD$4),1,""))</f>
        <v/>
      </c>
      <c r="AE37" s="30" t="str">
        <f aca="false">IF(OR($D37="",$E37=""),"",IF(AND($D37&lt;=AE$4+4,$E37&gt;=AE$4),1,""))</f>
        <v/>
      </c>
    </row>
    <row r="38" customFormat="false" ht="15" hidden="false" customHeight="false" outlineLevel="0" collapsed="false">
      <c r="A38" s="28" t="n">
        <v>32</v>
      </c>
      <c r="B38" s="14" t="str">
        <f aca="false">IFERROR(INDEX(Tablero!$A$5:$A$104,MATCH($A38,Tablero!$J$5:$J$104,0))&amp;"","")</f>
        <v/>
      </c>
      <c r="C38" s="14" t="str">
        <f aca="false">IFERROR(INDEX(Tablero!$B$5:$B$104,MATCH($A38,Tablero!$J$5:$J$104,0))&amp;"","")</f>
        <v/>
      </c>
      <c r="D38" s="29" t="str">
        <f aca="false">IFERROR(INDEX(Tablero!$R$5:$R$104,MATCH($A38,Tablero!$J$5:$J$104,0)),"")</f>
        <v/>
      </c>
      <c r="E38" s="29" t="str">
        <f aca="false">IFERROR(INDEX(Tablero!$S$5:$S$104,MATCH($A38,Tablero!$J$5:$J$104,0)),"")</f>
        <v/>
      </c>
      <c r="F38" s="30" t="str">
        <f aca="false">IF(OR($D38="",$E38=""),"",IF(AND($D38&lt;=F$4+4,$E38&gt;=F$4),1,""))</f>
        <v/>
      </c>
      <c r="G38" s="30" t="str">
        <f aca="false">IF(OR($D38="",$E38=""),"",IF(AND($D38&lt;=G$4+4,$E38&gt;=G$4),1,""))</f>
        <v/>
      </c>
      <c r="H38" s="30" t="str">
        <f aca="false">IF(OR($D38="",$E38=""),"",IF(AND($D38&lt;=H$4+4,$E38&gt;=H$4),1,""))</f>
        <v/>
      </c>
      <c r="I38" s="30" t="str">
        <f aca="false">IF(OR($D38="",$E38=""),"",IF(AND($D38&lt;=I$4+4,$E38&gt;=I$4),1,""))</f>
        <v/>
      </c>
      <c r="J38" s="30" t="str">
        <f aca="false">IF(OR($D38="",$E38=""),"",IF(AND($D38&lt;=J$4+4,$E38&gt;=J$4),1,""))</f>
        <v/>
      </c>
      <c r="K38" s="30" t="str">
        <f aca="false">IF(OR($D38="",$E38=""),"",IF(AND($D38&lt;=K$4+4,$E38&gt;=K$4),1,""))</f>
        <v/>
      </c>
      <c r="L38" s="30" t="str">
        <f aca="false">IF(OR($D38="",$E38=""),"",IF(AND($D38&lt;=L$4+4,$E38&gt;=L$4),1,""))</f>
        <v/>
      </c>
      <c r="M38" s="30" t="str">
        <f aca="false">IF(OR($D38="",$E38=""),"",IF(AND($D38&lt;=M$4+4,$E38&gt;=M$4),1,""))</f>
        <v/>
      </c>
      <c r="N38" s="30" t="str">
        <f aca="false">IF(OR($D38="",$E38=""),"",IF(AND($D38&lt;=N$4+4,$E38&gt;=N$4),1,""))</f>
        <v/>
      </c>
      <c r="O38" s="30" t="str">
        <f aca="false">IF(OR($D38="",$E38=""),"",IF(AND($D38&lt;=O$4+4,$E38&gt;=O$4),1,""))</f>
        <v/>
      </c>
      <c r="P38" s="30" t="str">
        <f aca="false">IF(OR($D38="",$E38=""),"",IF(AND($D38&lt;=P$4+4,$E38&gt;=P$4),1,""))</f>
        <v/>
      </c>
      <c r="Q38" s="30" t="str">
        <f aca="false">IF(OR($D38="",$E38=""),"",IF(AND($D38&lt;=Q$4+4,$E38&gt;=Q$4),1,""))</f>
        <v/>
      </c>
      <c r="R38" s="30" t="str">
        <f aca="false">IF(OR($D38="",$E38=""),"",IF(AND($D38&lt;=R$4+4,$E38&gt;=R$4),1,""))</f>
        <v/>
      </c>
      <c r="S38" s="30" t="str">
        <f aca="false">IF(OR($D38="",$E38=""),"",IF(AND($D38&lt;=S$4+4,$E38&gt;=S$4),1,""))</f>
        <v/>
      </c>
      <c r="T38" s="30" t="str">
        <f aca="false">IF(OR($D38="",$E38=""),"",IF(AND($D38&lt;=T$4+4,$E38&gt;=T$4),1,""))</f>
        <v/>
      </c>
      <c r="U38" s="30" t="str">
        <f aca="false">IF(OR($D38="",$E38=""),"",IF(AND($D38&lt;=U$4+4,$E38&gt;=U$4),1,""))</f>
        <v/>
      </c>
      <c r="V38" s="30" t="str">
        <f aca="false">IF(OR($D38="",$E38=""),"",IF(AND($D38&lt;=V$4+4,$E38&gt;=V$4),1,""))</f>
        <v/>
      </c>
      <c r="W38" s="30" t="str">
        <f aca="false">IF(OR($D38="",$E38=""),"",IF(AND($D38&lt;=W$4+4,$E38&gt;=W$4),1,""))</f>
        <v/>
      </c>
      <c r="X38" s="30" t="str">
        <f aca="false">IF(OR($D38="",$E38=""),"",IF(AND($D38&lt;=X$4+4,$E38&gt;=X$4),1,""))</f>
        <v/>
      </c>
      <c r="Y38" s="30" t="str">
        <f aca="false">IF(OR($D38="",$E38=""),"",IF(AND($D38&lt;=Y$4+4,$E38&gt;=Y$4),1,""))</f>
        <v/>
      </c>
      <c r="Z38" s="30" t="str">
        <f aca="false">IF(OR($D38="",$E38=""),"",IF(AND($D38&lt;=Z$4+4,$E38&gt;=Z$4),1,""))</f>
        <v/>
      </c>
      <c r="AA38" s="30" t="str">
        <f aca="false">IF(OR($D38="",$E38=""),"",IF(AND($D38&lt;=AA$4+4,$E38&gt;=AA$4),1,""))</f>
        <v/>
      </c>
      <c r="AB38" s="30" t="str">
        <f aca="false">IF(OR($D38="",$E38=""),"",IF(AND($D38&lt;=AB$4+4,$E38&gt;=AB$4),1,""))</f>
        <v/>
      </c>
      <c r="AC38" s="30" t="str">
        <f aca="false">IF(OR($D38="",$E38=""),"",IF(AND($D38&lt;=AC$4+4,$E38&gt;=AC$4),1,""))</f>
        <v/>
      </c>
      <c r="AD38" s="30" t="str">
        <f aca="false">IF(OR($D38="",$E38=""),"",IF(AND($D38&lt;=AD$4+4,$E38&gt;=AD$4),1,""))</f>
        <v/>
      </c>
      <c r="AE38" s="30" t="str">
        <f aca="false">IF(OR($D38="",$E38=""),"",IF(AND($D38&lt;=AE$4+4,$E38&gt;=AE$4),1,""))</f>
        <v/>
      </c>
    </row>
    <row r="39" customFormat="false" ht="15" hidden="false" customHeight="false" outlineLevel="0" collapsed="false">
      <c r="A39" s="28" t="n">
        <v>33</v>
      </c>
      <c r="B39" s="14" t="str">
        <f aca="false">IFERROR(INDEX(Tablero!$A$5:$A$104,MATCH($A39,Tablero!$J$5:$J$104,0))&amp;"","")</f>
        <v/>
      </c>
      <c r="C39" s="14" t="str">
        <f aca="false">IFERROR(INDEX(Tablero!$B$5:$B$104,MATCH($A39,Tablero!$J$5:$J$104,0))&amp;"","")</f>
        <v/>
      </c>
      <c r="D39" s="29" t="str">
        <f aca="false">IFERROR(INDEX(Tablero!$R$5:$R$104,MATCH($A39,Tablero!$J$5:$J$104,0)),"")</f>
        <v/>
      </c>
      <c r="E39" s="29" t="str">
        <f aca="false">IFERROR(INDEX(Tablero!$S$5:$S$104,MATCH($A39,Tablero!$J$5:$J$104,0)),"")</f>
        <v/>
      </c>
      <c r="F39" s="30" t="str">
        <f aca="false">IF(OR($D39="",$E39=""),"",IF(AND($D39&lt;=F$4+4,$E39&gt;=F$4),1,""))</f>
        <v/>
      </c>
      <c r="G39" s="30" t="str">
        <f aca="false">IF(OR($D39="",$E39=""),"",IF(AND($D39&lt;=G$4+4,$E39&gt;=G$4),1,""))</f>
        <v/>
      </c>
      <c r="H39" s="30" t="str">
        <f aca="false">IF(OR($D39="",$E39=""),"",IF(AND($D39&lt;=H$4+4,$E39&gt;=H$4),1,""))</f>
        <v/>
      </c>
      <c r="I39" s="30" t="str">
        <f aca="false">IF(OR($D39="",$E39=""),"",IF(AND($D39&lt;=I$4+4,$E39&gt;=I$4),1,""))</f>
        <v/>
      </c>
      <c r="J39" s="30" t="str">
        <f aca="false">IF(OR($D39="",$E39=""),"",IF(AND($D39&lt;=J$4+4,$E39&gt;=J$4),1,""))</f>
        <v/>
      </c>
      <c r="K39" s="30" t="str">
        <f aca="false">IF(OR($D39="",$E39=""),"",IF(AND($D39&lt;=K$4+4,$E39&gt;=K$4),1,""))</f>
        <v/>
      </c>
      <c r="L39" s="30" t="str">
        <f aca="false">IF(OR($D39="",$E39=""),"",IF(AND($D39&lt;=L$4+4,$E39&gt;=L$4),1,""))</f>
        <v/>
      </c>
      <c r="M39" s="30" t="str">
        <f aca="false">IF(OR($D39="",$E39=""),"",IF(AND($D39&lt;=M$4+4,$E39&gt;=M$4),1,""))</f>
        <v/>
      </c>
      <c r="N39" s="30" t="str">
        <f aca="false">IF(OR($D39="",$E39=""),"",IF(AND($D39&lt;=N$4+4,$E39&gt;=N$4),1,""))</f>
        <v/>
      </c>
      <c r="O39" s="30" t="str">
        <f aca="false">IF(OR($D39="",$E39=""),"",IF(AND($D39&lt;=O$4+4,$E39&gt;=O$4),1,""))</f>
        <v/>
      </c>
      <c r="P39" s="30" t="str">
        <f aca="false">IF(OR($D39="",$E39=""),"",IF(AND($D39&lt;=P$4+4,$E39&gt;=P$4),1,""))</f>
        <v/>
      </c>
      <c r="Q39" s="30" t="str">
        <f aca="false">IF(OR($D39="",$E39=""),"",IF(AND($D39&lt;=Q$4+4,$E39&gt;=Q$4),1,""))</f>
        <v/>
      </c>
      <c r="R39" s="30" t="str">
        <f aca="false">IF(OR($D39="",$E39=""),"",IF(AND($D39&lt;=R$4+4,$E39&gt;=R$4),1,""))</f>
        <v/>
      </c>
      <c r="S39" s="30" t="str">
        <f aca="false">IF(OR($D39="",$E39=""),"",IF(AND($D39&lt;=S$4+4,$E39&gt;=S$4),1,""))</f>
        <v/>
      </c>
      <c r="T39" s="30" t="str">
        <f aca="false">IF(OR($D39="",$E39=""),"",IF(AND($D39&lt;=T$4+4,$E39&gt;=T$4),1,""))</f>
        <v/>
      </c>
      <c r="U39" s="30" t="str">
        <f aca="false">IF(OR($D39="",$E39=""),"",IF(AND($D39&lt;=U$4+4,$E39&gt;=U$4),1,""))</f>
        <v/>
      </c>
      <c r="V39" s="30" t="str">
        <f aca="false">IF(OR($D39="",$E39=""),"",IF(AND($D39&lt;=V$4+4,$E39&gt;=V$4),1,""))</f>
        <v/>
      </c>
      <c r="W39" s="30" t="str">
        <f aca="false">IF(OR($D39="",$E39=""),"",IF(AND($D39&lt;=W$4+4,$E39&gt;=W$4),1,""))</f>
        <v/>
      </c>
      <c r="X39" s="30" t="str">
        <f aca="false">IF(OR($D39="",$E39=""),"",IF(AND($D39&lt;=X$4+4,$E39&gt;=X$4),1,""))</f>
        <v/>
      </c>
      <c r="Y39" s="30" t="str">
        <f aca="false">IF(OR($D39="",$E39=""),"",IF(AND($D39&lt;=Y$4+4,$E39&gt;=Y$4),1,""))</f>
        <v/>
      </c>
      <c r="Z39" s="30" t="str">
        <f aca="false">IF(OR($D39="",$E39=""),"",IF(AND($D39&lt;=Z$4+4,$E39&gt;=Z$4),1,""))</f>
        <v/>
      </c>
      <c r="AA39" s="30" t="str">
        <f aca="false">IF(OR($D39="",$E39=""),"",IF(AND($D39&lt;=AA$4+4,$E39&gt;=AA$4),1,""))</f>
        <v/>
      </c>
      <c r="AB39" s="30" t="str">
        <f aca="false">IF(OR($D39="",$E39=""),"",IF(AND($D39&lt;=AB$4+4,$E39&gt;=AB$4),1,""))</f>
        <v/>
      </c>
      <c r="AC39" s="30" t="str">
        <f aca="false">IF(OR($D39="",$E39=""),"",IF(AND($D39&lt;=AC$4+4,$E39&gt;=AC$4),1,""))</f>
        <v/>
      </c>
      <c r="AD39" s="30" t="str">
        <f aca="false">IF(OR($D39="",$E39=""),"",IF(AND($D39&lt;=AD$4+4,$E39&gt;=AD$4),1,""))</f>
        <v/>
      </c>
      <c r="AE39" s="30" t="str">
        <f aca="false">IF(OR($D39="",$E39=""),"",IF(AND($D39&lt;=AE$4+4,$E39&gt;=AE$4),1,""))</f>
        <v/>
      </c>
    </row>
    <row r="40" customFormat="false" ht="15" hidden="false" customHeight="false" outlineLevel="0" collapsed="false">
      <c r="A40" s="28" t="n">
        <v>34</v>
      </c>
      <c r="B40" s="14" t="str">
        <f aca="false">IFERROR(INDEX(Tablero!$A$5:$A$104,MATCH($A40,Tablero!$J$5:$J$104,0))&amp;"","")</f>
        <v/>
      </c>
      <c r="C40" s="14" t="str">
        <f aca="false">IFERROR(INDEX(Tablero!$B$5:$B$104,MATCH($A40,Tablero!$J$5:$J$104,0))&amp;"","")</f>
        <v/>
      </c>
      <c r="D40" s="29" t="str">
        <f aca="false">IFERROR(INDEX(Tablero!$R$5:$R$104,MATCH($A40,Tablero!$J$5:$J$104,0)),"")</f>
        <v/>
      </c>
      <c r="E40" s="29" t="str">
        <f aca="false">IFERROR(INDEX(Tablero!$S$5:$S$104,MATCH($A40,Tablero!$J$5:$J$104,0)),"")</f>
        <v/>
      </c>
      <c r="F40" s="30" t="str">
        <f aca="false">IF(OR($D40="",$E40=""),"",IF(AND($D40&lt;=F$4+4,$E40&gt;=F$4),1,""))</f>
        <v/>
      </c>
      <c r="G40" s="30" t="str">
        <f aca="false">IF(OR($D40="",$E40=""),"",IF(AND($D40&lt;=G$4+4,$E40&gt;=G$4),1,""))</f>
        <v/>
      </c>
      <c r="H40" s="30" t="str">
        <f aca="false">IF(OR($D40="",$E40=""),"",IF(AND($D40&lt;=H$4+4,$E40&gt;=H$4),1,""))</f>
        <v/>
      </c>
      <c r="I40" s="30" t="str">
        <f aca="false">IF(OR($D40="",$E40=""),"",IF(AND($D40&lt;=I$4+4,$E40&gt;=I$4),1,""))</f>
        <v/>
      </c>
      <c r="J40" s="30" t="str">
        <f aca="false">IF(OR($D40="",$E40=""),"",IF(AND($D40&lt;=J$4+4,$E40&gt;=J$4),1,""))</f>
        <v/>
      </c>
      <c r="K40" s="30" t="str">
        <f aca="false">IF(OR($D40="",$E40=""),"",IF(AND($D40&lt;=K$4+4,$E40&gt;=K$4),1,""))</f>
        <v/>
      </c>
      <c r="L40" s="30" t="str">
        <f aca="false">IF(OR($D40="",$E40=""),"",IF(AND($D40&lt;=L$4+4,$E40&gt;=L$4),1,""))</f>
        <v/>
      </c>
      <c r="M40" s="30" t="str">
        <f aca="false">IF(OR($D40="",$E40=""),"",IF(AND($D40&lt;=M$4+4,$E40&gt;=M$4),1,""))</f>
        <v/>
      </c>
      <c r="N40" s="30" t="str">
        <f aca="false">IF(OR($D40="",$E40=""),"",IF(AND($D40&lt;=N$4+4,$E40&gt;=N$4),1,""))</f>
        <v/>
      </c>
      <c r="O40" s="30" t="str">
        <f aca="false">IF(OR($D40="",$E40=""),"",IF(AND($D40&lt;=O$4+4,$E40&gt;=O$4),1,""))</f>
        <v/>
      </c>
      <c r="P40" s="30" t="str">
        <f aca="false">IF(OR($D40="",$E40=""),"",IF(AND($D40&lt;=P$4+4,$E40&gt;=P$4),1,""))</f>
        <v/>
      </c>
      <c r="Q40" s="30" t="str">
        <f aca="false">IF(OR($D40="",$E40=""),"",IF(AND($D40&lt;=Q$4+4,$E40&gt;=Q$4),1,""))</f>
        <v/>
      </c>
      <c r="R40" s="30" t="str">
        <f aca="false">IF(OR($D40="",$E40=""),"",IF(AND($D40&lt;=R$4+4,$E40&gt;=R$4),1,""))</f>
        <v/>
      </c>
      <c r="S40" s="30" t="str">
        <f aca="false">IF(OR($D40="",$E40=""),"",IF(AND($D40&lt;=S$4+4,$E40&gt;=S$4),1,""))</f>
        <v/>
      </c>
      <c r="T40" s="30" t="str">
        <f aca="false">IF(OR($D40="",$E40=""),"",IF(AND($D40&lt;=T$4+4,$E40&gt;=T$4),1,""))</f>
        <v/>
      </c>
      <c r="U40" s="30" t="str">
        <f aca="false">IF(OR($D40="",$E40=""),"",IF(AND($D40&lt;=U$4+4,$E40&gt;=U$4),1,""))</f>
        <v/>
      </c>
      <c r="V40" s="30" t="str">
        <f aca="false">IF(OR($D40="",$E40=""),"",IF(AND($D40&lt;=V$4+4,$E40&gt;=V$4),1,""))</f>
        <v/>
      </c>
      <c r="W40" s="30" t="str">
        <f aca="false">IF(OR($D40="",$E40=""),"",IF(AND($D40&lt;=W$4+4,$E40&gt;=W$4),1,""))</f>
        <v/>
      </c>
      <c r="X40" s="30" t="str">
        <f aca="false">IF(OR($D40="",$E40=""),"",IF(AND($D40&lt;=X$4+4,$E40&gt;=X$4),1,""))</f>
        <v/>
      </c>
      <c r="Y40" s="30" t="str">
        <f aca="false">IF(OR($D40="",$E40=""),"",IF(AND($D40&lt;=Y$4+4,$E40&gt;=Y$4),1,""))</f>
        <v/>
      </c>
      <c r="Z40" s="30" t="str">
        <f aca="false">IF(OR($D40="",$E40=""),"",IF(AND($D40&lt;=Z$4+4,$E40&gt;=Z$4),1,""))</f>
        <v/>
      </c>
      <c r="AA40" s="30" t="str">
        <f aca="false">IF(OR($D40="",$E40=""),"",IF(AND($D40&lt;=AA$4+4,$E40&gt;=AA$4),1,""))</f>
        <v/>
      </c>
      <c r="AB40" s="30" t="str">
        <f aca="false">IF(OR($D40="",$E40=""),"",IF(AND($D40&lt;=AB$4+4,$E40&gt;=AB$4),1,""))</f>
        <v/>
      </c>
      <c r="AC40" s="30" t="str">
        <f aca="false">IF(OR($D40="",$E40=""),"",IF(AND($D40&lt;=AC$4+4,$E40&gt;=AC$4),1,""))</f>
        <v/>
      </c>
      <c r="AD40" s="30" t="str">
        <f aca="false">IF(OR($D40="",$E40=""),"",IF(AND($D40&lt;=AD$4+4,$E40&gt;=AD$4),1,""))</f>
        <v/>
      </c>
      <c r="AE40" s="30" t="str">
        <f aca="false">IF(OR($D40="",$E40=""),"",IF(AND($D40&lt;=AE$4+4,$E40&gt;=AE$4),1,""))</f>
        <v/>
      </c>
    </row>
    <row r="41" customFormat="false" ht="15" hidden="false" customHeight="false" outlineLevel="0" collapsed="false">
      <c r="A41" s="28" t="n">
        <v>35</v>
      </c>
      <c r="B41" s="14" t="str">
        <f aca="false">IFERROR(INDEX(Tablero!$A$5:$A$104,MATCH($A41,Tablero!$J$5:$J$104,0))&amp;"","")</f>
        <v/>
      </c>
      <c r="C41" s="14" t="str">
        <f aca="false">IFERROR(INDEX(Tablero!$B$5:$B$104,MATCH($A41,Tablero!$J$5:$J$104,0))&amp;"","")</f>
        <v/>
      </c>
      <c r="D41" s="29" t="str">
        <f aca="false">IFERROR(INDEX(Tablero!$R$5:$R$104,MATCH($A41,Tablero!$J$5:$J$104,0)),"")</f>
        <v/>
      </c>
      <c r="E41" s="29" t="str">
        <f aca="false">IFERROR(INDEX(Tablero!$S$5:$S$104,MATCH($A41,Tablero!$J$5:$J$104,0)),"")</f>
        <v/>
      </c>
      <c r="F41" s="30" t="str">
        <f aca="false">IF(OR($D41="",$E41=""),"",IF(AND($D41&lt;=F$4+4,$E41&gt;=F$4),1,""))</f>
        <v/>
      </c>
      <c r="G41" s="30" t="str">
        <f aca="false">IF(OR($D41="",$E41=""),"",IF(AND($D41&lt;=G$4+4,$E41&gt;=G$4),1,""))</f>
        <v/>
      </c>
      <c r="H41" s="30" t="str">
        <f aca="false">IF(OR($D41="",$E41=""),"",IF(AND($D41&lt;=H$4+4,$E41&gt;=H$4),1,""))</f>
        <v/>
      </c>
      <c r="I41" s="30" t="str">
        <f aca="false">IF(OR($D41="",$E41=""),"",IF(AND($D41&lt;=I$4+4,$E41&gt;=I$4),1,""))</f>
        <v/>
      </c>
      <c r="J41" s="30" t="str">
        <f aca="false">IF(OR($D41="",$E41=""),"",IF(AND($D41&lt;=J$4+4,$E41&gt;=J$4),1,""))</f>
        <v/>
      </c>
      <c r="K41" s="30" t="str">
        <f aca="false">IF(OR($D41="",$E41=""),"",IF(AND($D41&lt;=K$4+4,$E41&gt;=K$4),1,""))</f>
        <v/>
      </c>
      <c r="L41" s="30" t="str">
        <f aca="false">IF(OR($D41="",$E41=""),"",IF(AND($D41&lt;=L$4+4,$E41&gt;=L$4),1,""))</f>
        <v/>
      </c>
      <c r="M41" s="30" t="str">
        <f aca="false">IF(OR($D41="",$E41=""),"",IF(AND($D41&lt;=M$4+4,$E41&gt;=M$4),1,""))</f>
        <v/>
      </c>
      <c r="N41" s="30" t="str">
        <f aca="false">IF(OR($D41="",$E41=""),"",IF(AND($D41&lt;=N$4+4,$E41&gt;=N$4),1,""))</f>
        <v/>
      </c>
      <c r="O41" s="30" t="str">
        <f aca="false">IF(OR($D41="",$E41=""),"",IF(AND($D41&lt;=O$4+4,$E41&gt;=O$4),1,""))</f>
        <v/>
      </c>
      <c r="P41" s="30" t="str">
        <f aca="false">IF(OR($D41="",$E41=""),"",IF(AND($D41&lt;=P$4+4,$E41&gt;=P$4),1,""))</f>
        <v/>
      </c>
      <c r="Q41" s="30" t="str">
        <f aca="false">IF(OR($D41="",$E41=""),"",IF(AND($D41&lt;=Q$4+4,$E41&gt;=Q$4),1,""))</f>
        <v/>
      </c>
      <c r="R41" s="30" t="str">
        <f aca="false">IF(OR($D41="",$E41=""),"",IF(AND($D41&lt;=R$4+4,$E41&gt;=R$4),1,""))</f>
        <v/>
      </c>
      <c r="S41" s="30" t="str">
        <f aca="false">IF(OR($D41="",$E41=""),"",IF(AND($D41&lt;=S$4+4,$E41&gt;=S$4),1,""))</f>
        <v/>
      </c>
      <c r="T41" s="30" t="str">
        <f aca="false">IF(OR($D41="",$E41=""),"",IF(AND($D41&lt;=T$4+4,$E41&gt;=T$4),1,""))</f>
        <v/>
      </c>
      <c r="U41" s="30" t="str">
        <f aca="false">IF(OR($D41="",$E41=""),"",IF(AND($D41&lt;=U$4+4,$E41&gt;=U$4),1,""))</f>
        <v/>
      </c>
      <c r="V41" s="30" t="str">
        <f aca="false">IF(OR($D41="",$E41=""),"",IF(AND($D41&lt;=V$4+4,$E41&gt;=V$4),1,""))</f>
        <v/>
      </c>
      <c r="W41" s="30" t="str">
        <f aca="false">IF(OR($D41="",$E41=""),"",IF(AND($D41&lt;=W$4+4,$E41&gt;=W$4),1,""))</f>
        <v/>
      </c>
      <c r="X41" s="30" t="str">
        <f aca="false">IF(OR($D41="",$E41=""),"",IF(AND($D41&lt;=X$4+4,$E41&gt;=X$4),1,""))</f>
        <v/>
      </c>
      <c r="Y41" s="30" t="str">
        <f aca="false">IF(OR($D41="",$E41=""),"",IF(AND($D41&lt;=Y$4+4,$E41&gt;=Y$4),1,""))</f>
        <v/>
      </c>
      <c r="Z41" s="30" t="str">
        <f aca="false">IF(OR($D41="",$E41=""),"",IF(AND($D41&lt;=Z$4+4,$E41&gt;=Z$4),1,""))</f>
        <v/>
      </c>
      <c r="AA41" s="30" t="str">
        <f aca="false">IF(OR($D41="",$E41=""),"",IF(AND($D41&lt;=AA$4+4,$E41&gt;=AA$4),1,""))</f>
        <v/>
      </c>
      <c r="AB41" s="30" t="str">
        <f aca="false">IF(OR($D41="",$E41=""),"",IF(AND($D41&lt;=AB$4+4,$E41&gt;=AB$4),1,""))</f>
        <v/>
      </c>
      <c r="AC41" s="30" t="str">
        <f aca="false">IF(OR($D41="",$E41=""),"",IF(AND($D41&lt;=AC$4+4,$E41&gt;=AC$4),1,""))</f>
        <v/>
      </c>
      <c r="AD41" s="30" t="str">
        <f aca="false">IF(OR($D41="",$E41=""),"",IF(AND($D41&lt;=AD$4+4,$E41&gt;=AD$4),1,""))</f>
        <v/>
      </c>
      <c r="AE41" s="30" t="str">
        <f aca="false">IF(OR($D41="",$E41=""),"",IF(AND($D41&lt;=AE$4+4,$E41&gt;=AE$4),1,""))</f>
        <v/>
      </c>
    </row>
    <row r="42" customFormat="false" ht="15" hidden="false" customHeight="false" outlineLevel="0" collapsed="false">
      <c r="A42" s="28" t="n">
        <v>36</v>
      </c>
      <c r="B42" s="14" t="str">
        <f aca="false">IFERROR(INDEX(Tablero!$A$5:$A$104,MATCH($A42,Tablero!$J$5:$J$104,0))&amp;"","")</f>
        <v/>
      </c>
      <c r="C42" s="14" t="str">
        <f aca="false">IFERROR(INDEX(Tablero!$B$5:$B$104,MATCH($A42,Tablero!$J$5:$J$104,0))&amp;"","")</f>
        <v/>
      </c>
      <c r="D42" s="29" t="str">
        <f aca="false">IFERROR(INDEX(Tablero!$R$5:$R$104,MATCH($A42,Tablero!$J$5:$J$104,0)),"")</f>
        <v/>
      </c>
      <c r="E42" s="29" t="str">
        <f aca="false">IFERROR(INDEX(Tablero!$S$5:$S$104,MATCH($A42,Tablero!$J$5:$J$104,0)),"")</f>
        <v/>
      </c>
      <c r="F42" s="30" t="str">
        <f aca="false">IF(OR($D42="",$E42=""),"",IF(AND($D42&lt;=F$4+4,$E42&gt;=F$4),1,""))</f>
        <v/>
      </c>
      <c r="G42" s="30" t="str">
        <f aca="false">IF(OR($D42="",$E42=""),"",IF(AND($D42&lt;=G$4+4,$E42&gt;=G$4),1,""))</f>
        <v/>
      </c>
      <c r="H42" s="30" t="str">
        <f aca="false">IF(OR($D42="",$E42=""),"",IF(AND($D42&lt;=H$4+4,$E42&gt;=H$4),1,""))</f>
        <v/>
      </c>
      <c r="I42" s="30" t="str">
        <f aca="false">IF(OR($D42="",$E42=""),"",IF(AND($D42&lt;=I$4+4,$E42&gt;=I$4),1,""))</f>
        <v/>
      </c>
      <c r="J42" s="30" t="str">
        <f aca="false">IF(OR($D42="",$E42=""),"",IF(AND($D42&lt;=J$4+4,$E42&gt;=J$4),1,""))</f>
        <v/>
      </c>
      <c r="K42" s="30" t="str">
        <f aca="false">IF(OR($D42="",$E42=""),"",IF(AND($D42&lt;=K$4+4,$E42&gt;=K$4),1,""))</f>
        <v/>
      </c>
      <c r="L42" s="30" t="str">
        <f aca="false">IF(OR($D42="",$E42=""),"",IF(AND($D42&lt;=L$4+4,$E42&gt;=L$4),1,""))</f>
        <v/>
      </c>
      <c r="M42" s="30" t="str">
        <f aca="false">IF(OR($D42="",$E42=""),"",IF(AND($D42&lt;=M$4+4,$E42&gt;=M$4),1,""))</f>
        <v/>
      </c>
      <c r="N42" s="30" t="str">
        <f aca="false">IF(OR($D42="",$E42=""),"",IF(AND($D42&lt;=N$4+4,$E42&gt;=N$4),1,""))</f>
        <v/>
      </c>
      <c r="O42" s="30" t="str">
        <f aca="false">IF(OR($D42="",$E42=""),"",IF(AND($D42&lt;=O$4+4,$E42&gt;=O$4),1,""))</f>
        <v/>
      </c>
      <c r="P42" s="30" t="str">
        <f aca="false">IF(OR($D42="",$E42=""),"",IF(AND($D42&lt;=P$4+4,$E42&gt;=P$4),1,""))</f>
        <v/>
      </c>
      <c r="Q42" s="30" t="str">
        <f aca="false">IF(OR($D42="",$E42=""),"",IF(AND($D42&lt;=Q$4+4,$E42&gt;=Q$4),1,""))</f>
        <v/>
      </c>
      <c r="R42" s="30" t="str">
        <f aca="false">IF(OR($D42="",$E42=""),"",IF(AND($D42&lt;=R$4+4,$E42&gt;=R$4),1,""))</f>
        <v/>
      </c>
      <c r="S42" s="30" t="str">
        <f aca="false">IF(OR($D42="",$E42=""),"",IF(AND($D42&lt;=S$4+4,$E42&gt;=S$4),1,""))</f>
        <v/>
      </c>
      <c r="T42" s="30" t="str">
        <f aca="false">IF(OR($D42="",$E42=""),"",IF(AND($D42&lt;=T$4+4,$E42&gt;=T$4),1,""))</f>
        <v/>
      </c>
      <c r="U42" s="30" t="str">
        <f aca="false">IF(OR($D42="",$E42=""),"",IF(AND($D42&lt;=U$4+4,$E42&gt;=U$4),1,""))</f>
        <v/>
      </c>
      <c r="V42" s="30" t="str">
        <f aca="false">IF(OR($D42="",$E42=""),"",IF(AND($D42&lt;=V$4+4,$E42&gt;=V$4),1,""))</f>
        <v/>
      </c>
      <c r="W42" s="30" t="str">
        <f aca="false">IF(OR($D42="",$E42=""),"",IF(AND($D42&lt;=W$4+4,$E42&gt;=W$4),1,""))</f>
        <v/>
      </c>
      <c r="X42" s="30" t="str">
        <f aca="false">IF(OR($D42="",$E42=""),"",IF(AND($D42&lt;=X$4+4,$E42&gt;=X$4),1,""))</f>
        <v/>
      </c>
      <c r="Y42" s="30" t="str">
        <f aca="false">IF(OR($D42="",$E42=""),"",IF(AND($D42&lt;=Y$4+4,$E42&gt;=Y$4),1,""))</f>
        <v/>
      </c>
      <c r="Z42" s="30" t="str">
        <f aca="false">IF(OR($D42="",$E42=""),"",IF(AND($D42&lt;=Z$4+4,$E42&gt;=Z$4),1,""))</f>
        <v/>
      </c>
      <c r="AA42" s="30" t="str">
        <f aca="false">IF(OR($D42="",$E42=""),"",IF(AND($D42&lt;=AA$4+4,$E42&gt;=AA$4),1,""))</f>
        <v/>
      </c>
      <c r="AB42" s="30" t="str">
        <f aca="false">IF(OR($D42="",$E42=""),"",IF(AND($D42&lt;=AB$4+4,$E42&gt;=AB$4),1,""))</f>
        <v/>
      </c>
      <c r="AC42" s="30" t="str">
        <f aca="false">IF(OR($D42="",$E42=""),"",IF(AND($D42&lt;=AC$4+4,$E42&gt;=AC$4),1,""))</f>
        <v/>
      </c>
      <c r="AD42" s="30" t="str">
        <f aca="false">IF(OR($D42="",$E42=""),"",IF(AND($D42&lt;=AD$4+4,$E42&gt;=AD$4),1,""))</f>
        <v/>
      </c>
      <c r="AE42" s="30" t="str">
        <f aca="false">IF(OR($D42="",$E42=""),"",IF(AND($D42&lt;=AE$4+4,$E42&gt;=AE$4),1,""))</f>
        <v/>
      </c>
    </row>
    <row r="43" customFormat="false" ht="15" hidden="false" customHeight="false" outlineLevel="0" collapsed="false">
      <c r="A43" s="28" t="n">
        <v>37</v>
      </c>
      <c r="B43" s="14" t="str">
        <f aca="false">IFERROR(INDEX(Tablero!$A$5:$A$104,MATCH($A43,Tablero!$J$5:$J$104,0))&amp;"","")</f>
        <v/>
      </c>
      <c r="C43" s="14" t="str">
        <f aca="false">IFERROR(INDEX(Tablero!$B$5:$B$104,MATCH($A43,Tablero!$J$5:$J$104,0))&amp;"","")</f>
        <v/>
      </c>
      <c r="D43" s="29" t="str">
        <f aca="false">IFERROR(INDEX(Tablero!$R$5:$R$104,MATCH($A43,Tablero!$J$5:$J$104,0)),"")</f>
        <v/>
      </c>
      <c r="E43" s="29" t="str">
        <f aca="false">IFERROR(INDEX(Tablero!$S$5:$S$104,MATCH($A43,Tablero!$J$5:$J$104,0)),"")</f>
        <v/>
      </c>
      <c r="F43" s="30" t="str">
        <f aca="false">IF(OR($D43="",$E43=""),"",IF(AND($D43&lt;=F$4+4,$E43&gt;=F$4),1,""))</f>
        <v/>
      </c>
      <c r="G43" s="30" t="str">
        <f aca="false">IF(OR($D43="",$E43=""),"",IF(AND($D43&lt;=G$4+4,$E43&gt;=G$4),1,""))</f>
        <v/>
      </c>
      <c r="H43" s="30" t="str">
        <f aca="false">IF(OR($D43="",$E43=""),"",IF(AND($D43&lt;=H$4+4,$E43&gt;=H$4),1,""))</f>
        <v/>
      </c>
      <c r="I43" s="30" t="str">
        <f aca="false">IF(OR($D43="",$E43=""),"",IF(AND($D43&lt;=I$4+4,$E43&gt;=I$4),1,""))</f>
        <v/>
      </c>
      <c r="J43" s="30" t="str">
        <f aca="false">IF(OR($D43="",$E43=""),"",IF(AND($D43&lt;=J$4+4,$E43&gt;=J$4),1,""))</f>
        <v/>
      </c>
      <c r="K43" s="30" t="str">
        <f aca="false">IF(OR($D43="",$E43=""),"",IF(AND($D43&lt;=K$4+4,$E43&gt;=K$4),1,""))</f>
        <v/>
      </c>
      <c r="L43" s="30" t="str">
        <f aca="false">IF(OR($D43="",$E43=""),"",IF(AND($D43&lt;=L$4+4,$E43&gt;=L$4),1,""))</f>
        <v/>
      </c>
      <c r="M43" s="30" t="str">
        <f aca="false">IF(OR($D43="",$E43=""),"",IF(AND($D43&lt;=M$4+4,$E43&gt;=M$4),1,""))</f>
        <v/>
      </c>
      <c r="N43" s="30" t="str">
        <f aca="false">IF(OR($D43="",$E43=""),"",IF(AND($D43&lt;=N$4+4,$E43&gt;=N$4),1,""))</f>
        <v/>
      </c>
      <c r="O43" s="30" t="str">
        <f aca="false">IF(OR($D43="",$E43=""),"",IF(AND($D43&lt;=O$4+4,$E43&gt;=O$4),1,""))</f>
        <v/>
      </c>
      <c r="P43" s="30" t="str">
        <f aca="false">IF(OR($D43="",$E43=""),"",IF(AND($D43&lt;=P$4+4,$E43&gt;=P$4),1,""))</f>
        <v/>
      </c>
      <c r="Q43" s="30" t="str">
        <f aca="false">IF(OR($D43="",$E43=""),"",IF(AND($D43&lt;=Q$4+4,$E43&gt;=Q$4),1,""))</f>
        <v/>
      </c>
      <c r="R43" s="30" t="str">
        <f aca="false">IF(OR($D43="",$E43=""),"",IF(AND($D43&lt;=R$4+4,$E43&gt;=R$4),1,""))</f>
        <v/>
      </c>
      <c r="S43" s="30" t="str">
        <f aca="false">IF(OR($D43="",$E43=""),"",IF(AND($D43&lt;=S$4+4,$E43&gt;=S$4),1,""))</f>
        <v/>
      </c>
      <c r="T43" s="30" t="str">
        <f aca="false">IF(OR($D43="",$E43=""),"",IF(AND($D43&lt;=T$4+4,$E43&gt;=T$4),1,""))</f>
        <v/>
      </c>
      <c r="U43" s="30" t="str">
        <f aca="false">IF(OR($D43="",$E43=""),"",IF(AND($D43&lt;=U$4+4,$E43&gt;=U$4),1,""))</f>
        <v/>
      </c>
      <c r="V43" s="30" t="str">
        <f aca="false">IF(OR($D43="",$E43=""),"",IF(AND($D43&lt;=V$4+4,$E43&gt;=V$4),1,""))</f>
        <v/>
      </c>
      <c r="W43" s="30" t="str">
        <f aca="false">IF(OR($D43="",$E43=""),"",IF(AND($D43&lt;=W$4+4,$E43&gt;=W$4),1,""))</f>
        <v/>
      </c>
      <c r="X43" s="30" t="str">
        <f aca="false">IF(OR($D43="",$E43=""),"",IF(AND($D43&lt;=X$4+4,$E43&gt;=X$4),1,""))</f>
        <v/>
      </c>
      <c r="Y43" s="30" t="str">
        <f aca="false">IF(OR($D43="",$E43=""),"",IF(AND($D43&lt;=Y$4+4,$E43&gt;=Y$4),1,""))</f>
        <v/>
      </c>
      <c r="Z43" s="30" t="str">
        <f aca="false">IF(OR($D43="",$E43=""),"",IF(AND($D43&lt;=Z$4+4,$E43&gt;=Z$4),1,""))</f>
        <v/>
      </c>
      <c r="AA43" s="30" t="str">
        <f aca="false">IF(OR($D43="",$E43=""),"",IF(AND($D43&lt;=AA$4+4,$E43&gt;=AA$4),1,""))</f>
        <v/>
      </c>
      <c r="AB43" s="30" t="str">
        <f aca="false">IF(OR($D43="",$E43=""),"",IF(AND($D43&lt;=AB$4+4,$E43&gt;=AB$4),1,""))</f>
        <v/>
      </c>
      <c r="AC43" s="30" t="str">
        <f aca="false">IF(OR($D43="",$E43=""),"",IF(AND($D43&lt;=AC$4+4,$E43&gt;=AC$4),1,""))</f>
        <v/>
      </c>
      <c r="AD43" s="30" t="str">
        <f aca="false">IF(OR($D43="",$E43=""),"",IF(AND($D43&lt;=AD$4+4,$E43&gt;=AD$4),1,""))</f>
        <v/>
      </c>
      <c r="AE43" s="30" t="str">
        <f aca="false">IF(OR($D43="",$E43=""),"",IF(AND($D43&lt;=AE$4+4,$E43&gt;=AE$4),1,""))</f>
        <v/>
      </c>
    </row>
    <row r="44" customFormat="false" ht="15" hidden="false" customHeight="false" outlineLevel="0" collapsed="false">
      <c r="A44" s="28" t="n">
        <v>38</v>
      </c>
      <c r="B44" s="14" t="str">
        <f aca="false">IFERROR(INDEX(Tablero!$A$5:$A$104,MATCH($A44,Tablero!$J$5:$J$104,0))&amp;"","")</f>
        <v/>
      </c>
      <c r="C44" s="14" t="str">
        <f aca="false">IFERROR(INDEX(Tablero!$B$5:$B$104,MATCH($A44,Tablero!$J$5:$J$104,0))&amp;"","")</f>
        <v/>
      </c>
      <c r="D44" s="29" t="str">
        <f aca="false">IFERROR(INDEX(Tablero!$R$5:$R$104,MATCH($A44,Tablero!$J$5:$J$104,0)),"")</f>
        <v/>
      </c>
      <c r="E44" s="29" t="str">
        <f aca="false">IFERROR(INDEX(Tablero!$S$5:$S$104,MATCH($A44,Tablero!$J$5:$J$104,0)),"")</f>
        <v/>
      </c>
      <c r="F44" s="30" t="str">
        <f aca="false">IF(OR($D44="",$E44=""),"",IF(AND($D44&lt;=F$4+4,$E44&gt;=F$4),1,""))</f>
        <v/>
      </c>
      <c r="G44" s="30" t="str">
        <f aca="false">IF(OR($D44="",$E44=""),"",IF(AND($D44&lt;=G$4+4,$E44&gt;=G$4),1,""))</f>
        <v/>
      </c>
      <c r="H44" s="30" t="str">
        <f aca="false">IF(OR($D44="",$E44=""),"",IF(AND($D44&lt;=H$4+4,$E44&gt;=H$4),1,""))</f>
        <v/>
      </c>
      <c r="I44" s="30" t="str">
        <f aca="false">IF(OR($D44="",$E44=""),"",IF(AND($D44&lt;=I$4+4,$E44&gt;=I$4),1,""))</f>
        <v/>
      </c>
      <c r="J44" s="30" t="str">
        <f aca="false">IF(OR($D44="",$E44=""),"",IF(AND($D44&lt;=J$4+4,$E44&gt;=J$4),1,""))</f>
        <v/>
      </c>
      <c r="K44" s="30" t="str">
        <f aca="false">IF(OR($D44="",$E44=""),"",IF(AND($D44&lt;=K$4+4,$E44&gt;=K$4),1,""))</f>
        <v/>
      </c>
      <c r="L44" s="30" t="str">
        <f aca="false">IF(OR($D44="",$E44=""),"",IF(AND($D44&lt;=L$4+4,$E44&gt;=L$4),1,""))</f>
        <v/>
      </c>
      <c r="M44" s="30" t="str">
        <f aca="false">IF(OR($D44="",$E44=""),"",IF(AND($D44&lt;=M$4+4,$E44&gt;=M$4),1,""))</f>
        <v/>
      </c>
      <c r="N44" s="30" t="str">
        <f aca="false">IF(OR($D44="",$E44=""),"",IF(AND($D44&lt;=N$4+4,$E44&gt;=N$4),1,""))</f>
        <v/>
      </c>
      <c r="O44" s="30" t="str">
        <f aca="false">IF(OR($D44="",$E44=""),"",IF(AND($D44&lt;=O$4+4,$E44&gt;=O$4),1,""))</f>
        <v/>
      </c>
      <c r="P44" s="30" t="str">
        <f aca="false">IF(OR($D44="",$E44=""),"",IF(AND($D44&lt;=P$4+4,$E44&gt;=P$4),1,""))</f>
        <v/>
      </c>
      <c r="Q44" s="30" t="str">
        <f aca="false">IF(OR($D44="",$E44=""),"",IF(AND($D44&lt;=Q$4+4,$E44&gt;=Q$4),1,""))</f>
        <v/>
      </c>
      <c r="R44" s="30" t="str">
        <f aca="false">IF(OR($D44="",$E44=""),"",IF(AND($D44&lt;=R$4+4,$E44&gt;=R$4),1,""))</f>
        <v/>
      </c>
      <c r="S44" s="30" t="str">
        <f aca="false">IF(OR($D44="",$E44=""),"",IF(AND($D44&lt;=S$4+4,$E44&gt;=S$4),1,""))</f>
        <v/>
      </c>
      <c r="T44" s="30" t="str">
        <f aca="false">IF(OR($D44="",$E44=""),"",IF(AND($D44&lt;=T$4+4,$E44&gt;=T$4),1,""))</f>
        <v/>
      </c>
      <c r="U44" s="30" t="str">
        <f aca="false">IF(OR($D44="",$E44=""),"",IF(AND($D44&lt;=U$4+4,$E44&gt;=U$4),1,""))</f>
        <v/>
      </c>
      <c r="V44" s="30" t="str">
        <f aca="false">IF(OR($D44="",$E44=""),"",IF(AND($D44&lt;=V$4+4,$E44&gt;=V$4),1,""))</f>
        <v/>
      </c>
      <c r="W44" s="30" t="str">
        <f aca="false">IF(OR($D44="",$E44=""),"",IF(AND($D44&lt;=W$4+4,$E44&gt;=W$4),1,""))</f>
        <v/>
      </c>
      <c r="X44" s="30" t="str">
        <f aca="false">IF(OR($D44="",$E44=""),"",IF(AND($D44&lt;=X$4+4,$E44&gt;=X$4),1,""))</f>
        <v/>
      </c>
      <c r="Y44" s="30" t="str">
        <f aca="false">IF(OR($D44="",$E44=""),"",IF(AND($D44&lt;=Y$4+4,$E44&gt;=Y$4),1,""))</f>
        <v/>
      </c>
      <c r="Z44" s="30" t="str">
        <f aca="false">IF(OR($D44="",$E44=""),"",IF(AND($D44&lt;=Z$4+4,$E44&gt;=Z$4),1,""))</f>
        <v/>
      </c>
      <c r="AA44" s="30" t="str">
        <f aca="false">IF(OR($D44="",$E44=""),"",IF(AND($D44&lt;=AA$4+4,$E44&gt;=AA$4),1,""))</f>
        <v/>
      </c>
      <c r="AB44" s="30" t="str">
        <f aca="false">IF(OR($D44="",$E44=""),"",IF(AND($D44&lt;=AB$4+4,$E44&gt;=AB$4),1,""))</f>
        <v/>
      </c>
      <c r="AC44" s="30" t="str">
        <f aca="false">IF(OR($D44="",$E44=""),"",IF(AND($D44&lt;=AC$4+4,$E44&gt;=AC$4),1,""))</f>
        <v/>
      </c>
      <c r="AD44" s="30" t="str">
        <f aca="false">IF(OR($D44="",$E44=""),"",IF(AND($D44&lt;=AD$4+4,$E44&gt;=AD$4),1,""))</f>
        <v/>
      </c>
      <c r="AE44" s="30" t="str">
        <f aca="false">IF(OR($D44="",$E44=""),"",IF(AND($D44&lt;=AE$4+4,$E44&gt;=AE$4),1,""))</f>
        <v/>
      </c>
    </row>
    <row r="45" customFormat="false" ht="15" hidden="false" customHeight="false" outlineLevel="0" collapsed="false">
      <c r="A45" s="28" t="n">
        <v>39</v>
      </c>
      <c r="B45" s="14" t="str">
        <f aca="false">IFERROR(INDEX(Tablero!$A$5:$A$104,MATCH($A45,Tablero!$J$5:$J$104,0))&amp;"","")</f>
        <v/>
      </c>
      <c r="C45" s="14" t="str">
        <f aca="false">IFERROR(INDEX(Tablero!$B$5:$B$104,MATCH($A45,Tablero!$J$5:$J$104,0))&amp;"","")</f>
        <v/>
      </c>
      <c r="D45" s="29" t="str">
        <f aca="false">IFERROR(INDEX(Tablero!$R$5:$R$104,MATCH($A45,Tablero!$J$5:$J$104,0)),"")</f>
        <v/>
      </c>
      <c r="E45" s="29" t="str">
        <f aca="false">IFERROR(INDEX(Tablero!$S$5:$S$104,MATCH($A45,Tablero!$J$5:$J$104,0)),"")</f>
        <v/>
      </c>
      <c r="F45" s="30" t="str">
        <f aca="false">IF(OR($D45="",$E45=""),"",IF(AND($D45&lt;=F$4+4,$E45&gt;=F$4),1,""))</f>
        <v/>
      </c>
      <c r="G45" s="30" t="str">
        <f aca="false">IF(OR($D45="",$E45=""),"",IF(AND($D45&lt;=G$4+4,$E45&gt;=G$4),1,""))</f>
        <v/>
      </c>
      <c r="H45" s="30" t="str">
        <f aca="false">IF(OR($D45="",$E45=""),"",IF(AND($D45&lt;=H$4+4,$E45&gt;=H$4),1,""))</f>
        <v/>
      </c>
      <c r="I45" s="30" t="str">
        <f aca="false">IF(OR($D45="",$E45=""),"",IF(AND($D45&lt;=I$4+4,$E45&gt;=I$4),1,""))</f>
        <v/>
      </c>
      <c r="J45" s="30" t="str">
        <f aca="false">IF(OR($D45="",$E45=""),"",IF(AND($D45&lt;=J$4+4,$E45&gt;=J$4),1,""))</f>
        <v/>
      </c>
      <c r="K45" s="30" t="str">
        <f aca="false">IF(OR($D45="",$E45=""),"",IF(AND($D45&lt;=K$4+4,$E45&gt;=K$4),1,""))</f>
        <v/>
      </c>
      <c r="L45" s="30" t="str">
        <f aca="false">IF(OR($D45="",$E45=""),"",IF(AND($D45&lt;=L$4+4,$E45&gt;=L$4),1,""))</f>
        <v/>
      </c>
      <c r="M45" s="30" t="str">
        <f aca="false">IF(OR($D45="",$E45=""),"",IF(AND($D45&lt;=M$4+4,$E45&gt;=M$4),1,""))</f>
        <v/>
      </c>
      <c r="N45" s="30" t="str">
        <f aca="false">IF(OR($D45="",$E45=""),"",IF(AND($D45&lt;=N$4+4,$E45&gt;=N$4),1,""))</f>
        <v/>
      </c>
      <c r="O45" s="30" t="str">
        <f aca="false">IF(OR($D45="",$E45=""),"",IF(AND($D45&lt;=O$4+4,$E45&gt;=O$4),1,""))</f>
        <v/>
      </c>
      <c r="P45" s="30" t="str">
        <f aca="false">IF(OR($D45="",$E45=""),"",IF(AND($D45&lt;=P$4+4,$E45&gt;=P$4),1,""))</f>
        <v/>
      </c>
      <c r="Q45" s="30" t="str">
        <f aca="false">IF(OR($D45="",$E45=""),"",IF(AND($D45&lt;=Q$4+4,$E45&gt;=Q$4),1,""))</f>
        <v/>
      </c>
      <c r="R45" s="30" t="str">
        <f aca="false">IF(OR($D45="",$E45=""),"",IF(AND($D45&lt;=R$4+4,$E45&gt;=R$4),1,""))</f>
        <v/>
      </c>
      <c r="S45" s="30" t="str">
        <f aca="false">IF(OR($D45="",$E45=""),"",IF(AND($D45&lt;=S$4+4,$E45&gt;=S$4),1,""))</f>
        <v/>
      </c>
      <c r="T45" s="30" t="str">
        <f aca="false">IF(OR($D45="",$E45=""),"",IF(AND($D45&lt;=T$4+4,$E45&gt;=T$4),1,""))</f>
        <v/>
      </c>
      <c r="U45" s="30" t="str">
        <f aca="false">IF(OR($D45="",$E45=""),"",IF(AND($D45&lt;=U$4+4,$E45&gt;=U$4),1,""))</f>
        <v/>
      </c>
      <c r="V45" s="30" t="str">
        <f aca="false">IF(OR($D45="",$E45=""),"",IF(AND($D45&lt;=V$4+4,$E45&gt;=V$4),1,""))</f>
        <v/>
      </c>
      <c r="W45" s="30" t="str">
        <f aca="false">IF(OR($D45="",$E45=""),"",IF(AND($D45&lt;=W$4+4,$E45&gt;=W$4),1,""))</f>
        <v/>
      </c>
      <c r="X45" s="30" t="str">
        <f aca="false">IF(OR($D45="",$E45=""),"",IF(AND($D45&lt;=X$4+4,$E45&gt;=X$4),1,""))</f>
        <v/>
      </c>
      <c r="Y45" s="30" t="str">
        <f aca="false">IF(OR($D45="",$E45=""),"",IF(AND($D45&lt;=Y$4+4,$E45&gt;=Y$4),1,""))</f>
        <v/>
      </c>
      <c r="Z45" s="30" t="str">
        <f aca="false">IF(OR($D45="",$E45=""),"",IF(AND($D45&lt;=Z$4+4,$E45&gt;=Z$4),1,""))</f>
        <v/>
      </c>
      <c r="AA45" s="30" t="str">
        <f aca="false">IF(OR($D45="",$E45=""),"",IF(AND($D45&lt;=AA$4+4,$E45&gt;=AA$4),1,""))</f>
        <v/>
      </c>
      <c r="AB45" s="30" t="str">
        <f aca="false">IF(OR($D45="",$E45=""),"",IF(AND($D45&lt;=AB$4+4,$E45&gt;=AB$4),1,""))</f>
        <v/>
      </c>
      <c r="AC45" s="30" t="str">
        <f aca="false">IF(OR($D45="",$E45=""),"",IF(AND($D45&lt;=AC$4+4,$E45&gt;=AC$4),1,""))</f>
        <v/>
      </c>
      <c r="AD45" s="30" t="str">
        <f aca="false">IF(OR($D45="",$E45=""),"",IF(AND($D45&lt;=AD$4+4,$E45&gt;=AD$4),1,""))</f>
        <v/>
      </c>
      <c r="AE45" s="30" t="str">
        <f aca="false">IF(OR($D45="",$E45=""),"",IF(AND($D45&lt;=AE$4+4,$E45&gt;=AE$4),1,""))</f>
        <v/>
      </c>
    </row>
    <row r="46" customFormat="false" ht="15" hidden="false" customHeight="false" outlineLevel="0" collapsed="false">
      <c r="A46" s="28" t="n">
        <v>40</v>
      </c>
      <c r="B46" s="14" t="str">
        <f aca="false">IFERROR(INDEX(Tablero!$A$5:$A$104,MATCH($A46,Tablero!$J$5:$J$104,0))&amp;"","")</f>
        <v/>
      </c>
      <c r="C46" s="14" t="str">
        <f aca="false">IFERROR(INDEX(Tablero!$B$5:$B$104,MATCH($A46,Tablero!$J$5:$J$104,0))&amp;"","")</f>
        <v/>
      </c>
      <c r="D46" s="29" t="str">
        <f aca="false">IFERROR(INDEX(Tablero!$R$5:$R$104,MATCH($A46,Tablero!$J$5:$J$104,0)),"")</f>
        <v/>
      </c>
      <c r="E46" s="29" t="str">
        <f aca="false">IFERROR(INDEX(Tablero!$S$5:$S$104,MATCH($A46,Tablero!$J$5:$J$104,0)),"")</f>
        <v/>
      </c>
      <c r="F46" s="30" t="str">
        <f aca="false">IF(OR($D46="",$E46=""),"",IF(AND($D46&lt;=F$4+4,$E46&gt;=F$4),1,""))</f>
        <v/>
      </c>
      <c r="G46" s="30" t="str">
        <f aca="false">IF(OR($D46="",$E46=""),"",IF(AND($D46&lt;=G$4+4,$E46&gt;=G$4),1,""))</f>
        <v/>
      </c>
      <c r="H46" s="30" t="str">
        <f aca="false">IF(OR($D46="",$E46=""),"",IF(AND($D46&lt;=H$4+4,$E46&gt;=H$4),1,""))</f>
        <v/>
      </c>
      <c r="I46" s="30" t="str">
        <f aca="false">IF(OR($D46="",$E46=""),"",IF(AND($D46&lt;=I$4+4,$E46&gt;=I$4),1,""))</f>
        <v/>
      </c>
      <c r="J46" s="30" t="str">
        <f aca="false">IF(OR($D46="",$E46=""),"",IF(AND($D46&lt;=J$4+4,$E46&gt;=J$4),1,""))</f>
        <v/>
      </c>
      <c r="K46" s="30" t="str">
        <f aca="false">IF(OR($D46="",$E46=""),"",IF(AND($D46&lt;=K$4+4,$E46&gt;=K$4),1,""))</f>
        <v/>
      </c>
      <c r="L46" s="30" t="str">
        <f aca="false">IF(OR($D46="",$E46=""),"",IF(AND($D46&lt;=L$4+4,$E46&gt;=L$4),1,""))</f>
        <v/>
      </c>
      <c r="M46" s="30" t="str">
        <f aca="false">IF(OR($D46="",$E46=""),"",IF(AND($D46&lt;=M$4+4,$E46&gt;=M$4),1,""))</f>
        <v/>
      </c>
      <c r="N46" s="30" t="str">
        <f aca="false">IF(OR($D46="",$E46=""),"",IF(AND($D46&lt;=N$4+4,$E46&gt;=N$4),1,""))</f>
        <v/>
      </c>
      <c r="O46" s="30" t="str">
        <f aca="false">IF(OR($D46="",$E46=""),"",IF(AND($D46&lt;=O$4+4,$E46&gt;=O$4),1,""))</f>
        <v/>
      </c>
      <c r="P46" s="30" t="str">
        <f aca="false">IF(OR($D46="",$E46=""),"",IF(AND($D46&lt;=P$4+4,$E46&gt;=P$4),1,""))</f>
        <v/>
      </c>
      <c r="Q46" s="30" t="str">
        <f aca="false">IF(OR($D46="",$E46=""),"",IF(AND($D46&lt;=Q$4+4,$E46&gt;=Q$4),1,""))</f>
        <v/>
      </c>
      <c r="R46" s="30" t="str">
        <f aca="false">IF(OR($D46="",$E46=""),"",IF(AND($D46&lt;=R$4+4,$E46&gt;=R$4),1,""))</f>
        <v/>
      </c>
      <c r="S46" s="30" t="str">
        <f aca="false">IF(OR($D46="",$E46=""),"",IF(AND($D46&lt;=S$4+4,$E46&gt;=S$4),1,""))</f>
        <v/>
      </c>
      <c r="T46" s="30" t="str">
        <f aca="false">IF(OR($D46="",$E46=""),"",IF(AND($D46&lt;=T$4+4,$E46&gt;=T$4),1,""))</f>
        <v/>
      </c>
      <c r="U46" s="30" t="str">
        <f aca="false">IF(OR($D46="",$E46=""),"",IF(AND($D46&lt;=U$4+4,$E46&gt;=U$4),1,""))</f>
        <v/>
      </c>
      <c r="V46" s="30" t="str">
        <f aca="false">IF(OR($D46="",$E46=""),"",IF(AND($D46&lt;=V$4+4,$E46&gt;=V$4),1,""))</f>
        <v/>
      </c>
      <c r="W46" s="30" t="str">
        <f aca="false">IF(OR($D46="",$E46=""),"",IF(AND($D46&lt;=W$4+4,$E46&gt;=W$4),1,""))</f>
        <v/>
      </c>
      <c r="X46" s="30" t="str">
        <f aca="false">IF(OR($D46="",$E46=""),"",IF(AND($D46&lt;=X$4+4,$E46&gt;=X$4),1,""))</f>
        <v/>
      </c>
      <c r="Y46" s="30" t="str">
        <f aca="false">IF(OR($D46="",$E46=""),"",IF(AND($D46&lt;=Y$4+4,$E46&gt;=Y$4),1,""))</f>
        <v/>
      </c>
      <c r="Z46" s="30" t="str">
        <f aca="false">IF(OR($D46="",$E46=""),"",IF(AND($D46&lt;=Z$4+4,$E46&gt;=Z$4),1,""))</f>
        <v/>
      </c>
      <c r="AA46" s="30" t="str">
        <f aca="false">IF(OR($D46="",$E46=""),"",IF(AND($D46&lt;=AA$4+4,$E46&gt;=AA$4),1,""))</f>
        <v/>
      </c>
      <c r="AB46" s="30" t="str">
        <f aca="false">IF(OR($D46="",$E46=""),"",IF(AND($D46&lt;=AB$4+4,$E46&gt;=AB$4),1,""))</f>
        <v/>
      </c>
      <c r="AC46" s="30" t="str">
        <f aca="false">IF(OR($D46="",$E46=""),"",IF(AND($D46&lt;=AC$4+4,$E46&gt;=AC$4),1,""))</f>
        <v/>
      </c>
      <c r="AD46" s="30" t="str">
        <f aca="false">IF(OR($D46="",$E46=""),"",IF(AND($D46&lt;=AD$4+4,$E46&gt;=AD$4),1,""))</f>
        <v/>
      </c>
      <c r="AE46" s="30" t="str">
        <f aca="false">IF(OR($D46="",$E46=""),"",IF(AND($D46&lt;=AE$4+4,$E46&gt;=AE$4),1,""))</f>
        <v/>
      </c>
    </row>
    <row r="47" customFormat="false" ht="15" hidden="false" customHeight="false" outlineLevel="0" collapsed="false">
      <c r="A47" s="28" t="n">
        <v>41</v>
      </c>
      <c r="B47" s="14" t="str">
        <f aca="false">IFERROR(INDEX(Tablero!$A$5:$A$104,MATCH($A47,Tablero!$J$5:$J$104,0))&amp;"","")</f>
        <v/>
      </c>
      <c r="C47" s="14" t="str">
        <f aca="false">IFERROR(INDEX(Tablero!$B$5:$B$104,MATCH($A47,Tablero!$J$5:$J$104,0))&amp;"","")</f>
        <v/>
      </c>
      <c r="D47" s="29" t="str">
        <f aca="false">IFERROR(INDEX(Tablero!$R$5:$R$104,MATCH($A47,Tablero!$J$5:$J$104,0)),"")</f>
        <v/>
      </c>
      <c r="E47" s="29" t="str">
        <f aca="false">IFERROR(INDEX(Tablero!$S$5:$S$104,MATCH($A47,Tablero!$J$5:$J$104,0)),"")</f>
        <v/>
      </c>
      <c r="F47" s="30" t="str">
        <f aca="false">IF(OR($D47="",$E47=""),"",IF(AND($D47&lt;=F$4+4,$E47&gt;=F$4),1,""))</f>
        <v/>
      </c>
      <c r="G47" s="30" t="str">
        <f aca="false">IF(OR($D47="",$E47=""),"",IF(AND($D47&lt;=G$4+4,$E47&gt;=G$4),1,""))</f>
        <v/>
      </c>
      <c r="H47" s="30" t="str">
        <f aca="false">IF(OR($D47="",$E47=""),"",IF(AND($D47&lt;=H$4+4,$E47&gt;=H$4),1,""))</f>
        <v/>
      </c>
      <c r="I47" s="30" t="str">
        <f aca="false">IF(OR($D47="",$E47=""),"",IF(AND($D47&lt;=I$4+4,$E47&gt;=I$4),1,""))</f>
        <v/>
      </c>
      <c r="J47" s="30" t="str">
        <f aca="false">IF(OR($D47="",$E47=""),"",IF(AND($D47&lt;=J$4+4,$E47&gt;=J$4),1,""))</f>
        <v/>
      </c>
      <c r="K47" s="30" t="str">
        <f aca="false">IF(OR($D47="",$E47=""),"",IF(AND($D47&lt;=K$4+4,$E47&gt;=K$4),1,""))</f>
        <v/>
      </c>
      <c r="L47" s="30" t="str">
        <f aca="false">IF(OR($D47="",$E47=""),"",IF(AND($D47&lt;=L$4+4,$E47&gt;=L$4),1,""))</f>
        <v/>
      </c>
      <c r="M47" s="30" t="str">
        <f aca="false">IF(OR($D47="",$E47=""),"",IF(AND($D47&lt;=M$4+4,$E47&gt;=M$4),1,""))</f>
        <v/>
      </c>
      <c r="N47" s="30" t="str">
        <f aca="false">IF(OR($D47="",$E47=""),"",IF(AND($D47&lt;=N$4+4,$E47&gt;=N$4),1,""))</f>
        <v/>
      </c>
      <c r="O47" s="30" t="str">
        <f aca="false">IF(OR($D47="",$E47=""),"",IF(AND($D47&lt;=O$4+4,$E47&gt;=O$4),1,""))</f>
        <v/>
      </c>
      <c r="P47" s="30" t="str">
        <f aca="false">IF(OR($D47="",$E47=""),"",IF(AND($D47&lt;=P$4+4,$E47&gt;=P$4),1,""))</f>
        <v/>
      </c>
      <c r="Q47" s="30" t="str">
        <f aca="false">IF(OR($D47="",$E47=""),"",IF(AND($D47&lt;=Q$4+4,$E47&gt;=Q$4),1,""))</f>
        <v/>
      </c>
      <c r="R47" s="30" t="str">
        <f aca="false">IF(OR($D47="",$E47=""),"",IF(AND($D47&lt;=R$4+4,$E47&gt;=R$4),1,""))</f>
        <v/>
      </c>
      <c r="S47" s="30" t="str">
        <f aca="false">IF(OR($D47="",$E47=""),"",IF(AND($D47&lt;=S$4+4,$E47&gt;=S$4),1,""))</f>
        <v/>
      </c>
      <c r="T47" s="30" t="str">
        <f aca="false">IF(OR($D47="",$E47=""),"",IF(AND($D47&lt;=T$4+4,$E47&gt;=T$4),1,""))</f>
        <v/>
      </c>
      <c r="U47" s="30" t="str">
        <f aca="false">IF(OR($D47="",$E47=""),"",IF(AND($D47&lt;=U$4+4,$E47&gt;=U$4),1,""))</f>
        <v/>
      </c>
      <c r="V47" s="30" t="str">
        <f aca="false">IF(OR($D47="",$E47=""),"",IF(AND($D47&lt;=V$4+4,$E47&gt;=V$4),1,""))</f>
        <v/>
      </c>
      <c r="W47" s="30" t="str">
        <f aca="false">IF(OR($D47="",$E47=""),"",IF(AND($D47&lt;=W$4+4,$E47&gt;=W$4),1,""))</f>
        <v/>
      </c>
      <c r="X47" s="30" t="str">
        <f aca="false">IF(OR($D47="",$E47=""),"",IF(AND($D47&lt;=X$4+4,$E47&gt;=X$4),1,""))</f>
        <v/>
      </c>
      <c r="Y47" s="30" t="str">
        <f aca="false">IF(OR($D47="",$E47=""),"",IF(AND($D47&lt;=Y$4+4,$E47&gt;=Y$4),1,""))</f>
        <v/>
      </c>
      <c r="Z47" s="30" t="str">
        <f aca="false">IF(OR($D47="",$E47=""),"",IF(AND($D47&lt;=Z$4+4,$E47&gt;=Z$4),1,""))</f>
        <v/>
      </c>
      <c r="AA47" s="30" t="str">
        <f aca="false">IF(OR($D47="",$E47=""),"",IF(AND($D47&lt;=AA$4+4,$E47&gt;=AA$4),1,""))</f>
        <v/>
      </c>
      <c r="AB47" s="30" t="str">
        <f aca="false">IF(OR($D47="",$E47=""),"",IF(AND($D47&lt;=AB$4+4,$E47&gt;=AB$4),1,""))</f>
        <v/>
      </c>
      <c r="AC47" s="30" t="str">
        <f aca="false">IF(OR($D47="",$E47=""),"",IF(AND($D47&lt;=AC$4+4,$E47&gt;=AC$4),1,""))</f>
        <v/>
      </c>
      <c r="AD47" s="30" t="str">
        <f aca="false">IF(OR($D47="",$E47=""),"",IF(AND($D47&lt;=AD$4+4,$E47&gt;=AD$4),1,""))</f>
        <v/>
      </c>
      <c r="AE47" s="30" t="str">
        <f aca="false">IF(OR($D47="",$E47=""),"",IF(AND($D47&lt;=AE$4+4,$E47&gt;=AE$4),1,""))</f>
        <v/>
      </c>
    </row>
    <row r="48" customFormat="false" ht="15" hidden="false" customHeight="false" outlineLevel="0" collapsed="false">
      <c r="A48" s="28" t="n">
        <v>42</v>
      </c>
      <c r="B48" s="14" t="str">
        <f aca="false">IFERROR(INDEX(Tablero!$A$5:$A$104,MATCH($A48,Tablero!$J$5:$J$104,0))&amp;"","")</f>
        <v/>
      </c>
      <c r="C48" s="14" t="str">
        <f aca="false">IFERROR(INDEX(Tablero!$B$5:$B$104,MATCH($A48,Tablero!$J$5:$J$104,0))&amp;"","")</f>
        <v/>
      </c>
      <c r="D48" s="29" t="str">
        <f aca="false">IFERROR(INDEX(Tablero!$R$5:$R$104,MATCH($A48,Tablero!$J$5:$J$104,0)),"")</f>
        <v/>
      </c>
      <c r="E48" s="29" t="str">
        <f aca="false">IFERROR(INDEX(Tablero!$S$5:$S$104,MATCH($A48,Tablero!$J$5:$J$104,0)),"")</f>
        <v/>
      </c>
      <c r="F48" s="30" t="str">
        <f aca="false">IF(OR($D48="",$E48=""),"",IF(AND($D48&lt;=F$4+4,$E48&gt;=F$4),1,""))</f>
        <v/>
      </c>
      <c r="G48" s="30" t="str">
        <f aca="false">IF(OR($D48="",$E48=""),"",IF(AND($D48&lt;=G$4+4,$E48&gt;=G$4),1,""))</f>
        <v/>
      </c>
      <c r="H48" s="30" t="str">
        <f aca="false">IF(OR($D48="",$E48=""),"",IF(AND($D48&lt;=H$4+4,$E48&gt;=H$4),1,""))</f>
        <v/>
      </c>
      <c r="I48" s="30" t="str">
        <f aca="false">IF(OR($D48="",$E48=""),"",IF(AND($D48&lt;=I$4+4,$E48&gt;=I$4),1,""))</f>
        <v/>
      </c>
      <c r="J48" s="30" t="str">
        <f aca="false">IF(OR($D48="",$E48=""),"",IF(AND($D48&lt;=J$4+4,$E48&gt;=J$4),1,""))</f>
        <v/>
      </c>
      <c r="K48" s="30" t="str">
        <f aca="false">IF(OR($D48="",$E48=""),"",IF(AND($D48&lt;=K$4+4,$E48&gt;=K$4),1,""))</f>
        <v/>
      </c>
      <c r="L48" s="30" t="str">
        <f aca="false">IF(OR($D48="",$E48=""),"",IF(AND($D48&lt;=L$4+4,$E48&gt;=L$4),1,""))</f>
        <v/>
      </c>
      <c r="M48" s="30" t="str">
        <f aca="false">IF(OR($D48="",$E48=""),"",IF(AND($D48&lt;=M$4+4,$E48&gt;=M$4),1,""))</f>
        <v/>
      </c>
      <c r="N48" s="30" t="str">
        <f aca="false">IF(OR($D48="",$E48=""),"",IF(AND($D48&lt;=N$4+4,$E48&gt;=N$4),1,""))</f>
        <v/>
      </c>
      <c r="O48" s="30" t="str">
        <f aca="false">IF(OR($D48="",$E48=""),"",IF(AND($D48&lt;=O$4+4,$E48&gt;=O$4),1,""))</f>
        <v/>
      </c>
      <c r="P48" s="30" t="str">
        <f aca="false">IF(OR($D48="",$E48=""),"",IF(AND($D48&lt;=P$4+4,$E48&gt;=P$4),1,""))</f>
        <v/>
      </c>
      <c r="Q48" s="30" t="str">
        <f aca="false">IF(OR($D48="",$E48=""),"",IF(AND($D48&lt;=Q$4+4,$E48&gt;=Q$4),1,""))</f>
        <v/>
      </c>
      <c r="R48" s="30" t="str">
        <f aca="false">IF(OR($D48="",$E48=""),"",IF(AND($D48&lt;=R$4+4,$E48&gt;=R$4),1,""))</f>
        <v/>
      </c>
      <c r="S48" s="30" t="str">
        <f aca="false">IF(OR($D48="",$E48=""),"",IF(AND($D48&lt;=S$4+4,$E48&gt;=S$4),1,""))</f>
        <v/>
      </c>
      <c r="T48" s="30" t="str">
        <f aca="false">IF(OR($D48="",$E48=""),"",IF(AND($D48&lt;=T$4+4,$E48&gt;=T$4),1,""))</f>
        <v/>
      </c>
      <c r="U48" s="30" t="str">
        <f aca="false">IF(OR($D48="",$E48=""),"",IF(AND($D48&lt;=U$4+4,$E48&gt;=U$4),1,""))</f>
        <v/>
      </c>
      <c r="V48" s="30" t="str">
        <f aca="false">IF(OR($D48="",$E48=""),"",IF(AND($D48&lt;=V$4+4,$E48&gt;=V$4),1,""))</f>
        <v/>
      </c>
      <c r="W48" s="30" t="str">
        <f aca="false">IF(OR($D48="",$E48=""),"",IF(AND($D48&lt;=W$4+4,$E48&gt;=W$4),1,""))</f>
        <v/>
      </c>
      <c r="X48" s="30" t="str">
        <f aca="false">IF(OR($D48="",$E48=""),"",IF(AND($D48&lt;=X$4+4,$E48&gt;=X$4),1,""))</f>
        <v/>
      </c>
      <c r="Y48" s="30" t="str">
        <f aca="false">IF(OR($D48="",$E48=""),"",IF(AND($D48&lt;=Y$4+4,$E48&gt;=Y$4),1,""))</f>
        <v/>
      </c>
      <c r="Z48" s="30" t="str">
        <f aca="false">IF(OR($D48="",$E48=""),"",IF(AND($D48&lt;=Z$4+4,$E48&gt;=Z$4),1,""))</f>
        <v/>
      </c>
      <c r="AA48" s="30" t="str">
        <f aca="false">IF(OR($D48="",$E48=""),"",IF(AND($D48&lt;=AA$4+4,$E48&gt;=AA$4),1,""))</f>
        <v/>
      </c>
      <c r="AB48" s="30" t="str">
        <f aca="false">IF(OR($D48="",$E48=""),"",IF(AND($D48&lt;=AB$4+4,$E48&gt;=AB$4),1,""))</f>
        <v/>
      </c>
      <c r="AC48" s="30" t="str">
        <f aca="false">IF(OR($D48="",$E48=""),"",IF(AND($D48&lt;=AC$4+4,$E48&gt;=AC$4),1,""))</f>
        <v/>
      </c>
      <c r="AD48" s="30" t="str">
        <f aca="false">IF(OR($D48="",$E48=""),"",IF(AND($D48&lt;=AD$4+4,$E48&gt;=AD$4),1,""))</f>
        <v/>
      </c>
      <c r="AE48" s="30" t="str">
        <f aca="false">IF(OR($D48="",$E48=""),"",IF(AND($D48&lt;=AE$4+4,$E48&gt;=AE$4),1,""))</f>
        <v/>
      </c>
    </row>
    <row r="49" customFormat="false" ht="15" hidden="false" customHeight="false" outlineLevel="0" collapsed="false">
      <c r="A49" s="28" t="n">
        <v>43</v>
      </c>
      <c r="B49" s="14" t="str">
        <f aca="false">IFERROR(INDEX(Tablero!$A$5:$A$104,MATCH($A49,Tablero!$J$5:$J$104,0))&amp;"","")</f>
        <v/>
      </c>
      <c r="C49" s="14" t="str">
        <f aca="false">IFERROR(INDEX(Tablero!$B$5:$B$104,MATCH($A49,Tablero!$J$5:$J$104,0))&amp;"","")</f>
        <v/>
      </c>
      <c r="D49" s="29" t="str">
        <f aca="false">IFERROR(INDEX(Tablero!$R$5:$R$104,MATCH($A49,Tablero!$J$5:$J$104,0)),"")</f>
        <v/>
      </c>
      <c r="E49" s="29" t="str">
        <f aca="false">IFERROR(INDEX(Tablero!$S$5:$S$104,MATCH($A49,Tablero!$J$5:$J$104,0)),"")</f>
        <v/>
      </c>
      <c r="F49" s="30" t="str">
        <f aca="false">IF(OR($D49="",$E49=""),"",IF(AND($D49&lt;=F$4+4,$E49&gt;=F$4),1,""))</f>
        <v/>
      </c>
      <c r="G49" s="30" t="str">
        <f aca="false">IF(OR($D49="",$E49=""),"",IF(AND($D49&lt;=G$4+4,$E49&gt;=G$4),1,""))</f>
        <v/>
      </c>
      <c r="H49" s="30" t="str">
        <f aca="false">IF(OR($D49="",$E49=""),"",IF(AND($D49&lt;=H$4+4,$E49&gt;=H$4),1,""))</f>
        <v/>
      </c>
      <c r="I49" s="30" t="str">
        <f aca="false">IF(OR($D49="",$E49=""),"",IF(AND($D49&lt;=I$4+4,$E49&gt;=I$4),1,""))</f>
        <v/>
      </c>
      <c r="J49" s="30" t="str">
        <f aca="false">IF(OR($D49="",$E49=""),"",IF(AND($D49&lt;=J$4+4,$E49&gt;=J$4),1,""))</f>
        <v/>
      </c>
      <c r="K49" s="30" t="str">
        <f aca="false">IF(OR($D49="",$E49=""),"",IF(AND($D49&lt;=K$4+4,$E49&gt;=K$4),1,""))</f>
        <v/>
      </c>
      <c r="L49" s="30" t="str">
        <f aca="false">IF(OR($D49="",$E49=""),"",IF(AND($D49&lt;=L$4+4,$E49&gt;=L$4),1,""))</f>
        <v/>
      </c>
      <c r="M49" s="30" t="str">
        <f aca="false">IF(OR($D49="",$E49=""),"",IF(AND($D49&lt;=M$4+4,$E49&gt;=M$4),1,""))</f>
        <v/>
      </c>
      <c r="N49" s="30" t="str">
        <f aca="false">IF(OR($D49="",$E49=""),"",IF(AND($D49&lt;=N$4+4,$E49&gt;=N$4),1,""))</f>
        <v/>
      </c>
      <c r="O49" s="30" t="str">
        <f aca="false">IF(OR($D49="",$E49=""),"",IF(AND($D49&lt;=O$4+4,$E49&gt;=O$4),1,""))</f>
        <v/>
      </c>
      <c r="P49" s="30" t="str">
        <f aca="false">IF(OR($D49="",$E49=""),"",IF(AND($D49&lt;=P$4+4,$E49&gt;=P$4),1,""))</f>
        <v/>
      </c>
      <c r="Q49" s="30" t="str">
        <f aca="false">IF(OR($D49="",$E49=""),"",IF(AND($D49&lt;=Q$4+4,$E49&gt;=Q$4),1,""))</f>
        <v/>
      </c>
      <c r="R49" s="30" t="str">
        <f aca="false">IF(OR($D49="",$E49=""),"",IF(AND($D49&lt;=R$4+4,$E49&gt;=R$4),1,""))</f>
        <v/>
      </c>
      <c r="S49" s="30" t="str">
        <f aca="false">IF(OR($D49="",$E49=""),"",IF(AND($D49&lt;=S$4+4,$E49&gt;=S$4),1,""))</f>
        <v/>
      </c>
      <c r="T49" s="30" t="str">
        <f aca="false">IF(OR($D49="",$E49=""),"",IF(AND($D49&lt;=T$4+4,$E49&gt;=T$4),1,""))</f>
        <v/>
      </c>
      <c r="U49" s="30" t="str">
        <f aca="false">IF(OR($D49="",$E49=""),"",IF(AND($D49&lt;=U$4+4,$E49&gt;=U$4),1,""))</f>
        <v/>
      </c>
      <c r="V49" s="30" t="str">
        <f aca="false">IF(OR($D49="",$E49=""),"",IF(AND($D49&lt;=V$4+4,$E49&gt;=V$4),1,""))</f>
        <v/>
      </c>
      <c r="W49" s="30" t="str">
        <f aca="false">IF(OR($D49="",$E49=""),"",IF(AND($D49&lt;=W$4+4,$E49&gt;=W$4),1,""))</f>
        <v/>
      </c>
      <c r="X49" s="30" t="str">
        <f aca="false">IF(OR($D49="",$E49=""),"",IF(AND($D49&lt;=X$4+4,$E49&gt;=X$4),1,""))</f>
        <v/>
      </c>
      <c r="Y49" s="30" t="str">
        <f aca="false">IF(OR($D49="",$E49=""),"",IF(AND($D49&lt;=Y$4+4,$E49&gt;=Y$4),1,""))</f>
        <v/>
      </c>
      <c r="Z49" s="30" t="str">
        <f aca="false">IF(OR($D49="",$E49=""),"",IF(AND($D49&lt;=Z$4+4,$E49&gt;=Z$4),1,""))</f>
        <v/>
      </c>
      <c r="AA49" s="30" t="str">
        <f aca="false">IF(OR($D49="",$E49=""),"",IF(AND($D49&lt;=AA$4+4,$E49&gt;=AA$4),1,""))</f>
        <v/>
      </c>
      <c r="AB49" s="30" t="str">
        <f aca="false">IF(OR($D49="",$E49=""),"",IF(AND($D49&lt;=AB$4+4,$E49&gt;=AB$4),1,""))</f>
        <v/>
      </c>
      <c r="AC49" s="30" t="str">
        <f aca="false">IF(OR($D49="",$E49=""),"",IF(AND($D49&lt;=AC$4+4,$E49&gt;=AC$4),1,""))</f>
        <v/>
      </c>
      <c r="AD49" s="30" t="str">
        <f aca="false">IF(OR($D49="",$E49=""),"",IF(AND($D49&lt;=AD$4+4,$E49&gt;=AD$4),1,""))</f>
        <v/>
      </c>
      <c r="AE49" s="30" t="str">
        <f aca="false">IF(OR($D49="",$E49=""),"",IF(AND($D49&lt;=AE$4+4,$E49&gt;=AE$4),1,""))</f>
        <v/>
      </c>
    </row>
    <row r="50" customFormat="false" ht="15" hidden="false" customHeight="false" outlineLevel="0" collapsed="false">
      <c r="A50" s="28" t="n">
        <v>44</v>
      </c>
      <c r="B50" s="14" t="str">
        <f aca="false">IFERROR(INDEX(Tablero!$A$5:$A$104,MATCH($A50,Tablero!$J$5:$J$104,0))&amp;"","")</f>
        <v/>
      </c>
      <c r="C50" s="14" t="str">
        <f aca="false">IFERROR(INDEX(Tablero!$B$5:$B$104,MATCH($A50,Tablero!$J$5:$J$104,0))&amp;"","")</f>
        <v/>
      </c>
      <c r="D50" s="29" t="str">
        <f aca="false">IFERROR(INDEX(Tablero!$R$5:$R$104,MATCH($A50,Tablero!$J$5:$J$104,0)),"")</f>
        <v/>
      </c>
      <c r="E50" s="29" t="str">
        <f aca="false">IFERROR(INDEX(Tablero!$S$5:$S$104,MATCH($A50,Tablero!$J$5:$J$104,0)),"")</f>
        <v/>
      </c>
      <c r="F50" s="30" t="str">
        <f aca="false">IF(OR($D50="",$E50=""),"",IF(AND($D50&lt;=F$4+4,$E50&gt;=F$4),1,""))</f>
        <v/>
      </c>
      <c r="G50" s="30" t="str">
        <f aca="false">IF(OR($D50="",$E50=""),"",IF(AND($D50&lt;=G$4+4,$E50&gt;=G$4),1,""))</f>
        <v/>
      </c>
      <c r="H50" s="30" t="str">
        <f aca="false">IF(OR($D50="",$E50=""),"",IF(AND($D50&lt;=H$4+4,$E50&gt;=H$4),1,""))</f>
        <v/>
      </c>
      <c r="I50" s="30" t="str">
        <f aca="false">IF(OR($D50="",$E50=""),"",IF(AND($D50&lt;=I$4+4,$E50&gt;=I$4),1,""))</f>
        <v/>
      </c>
      <c r="J50" s="30" t="str">
        <f aca="false">IF(OR($D50="",$E50=""),"",IF(AND($D50&lt;=J$4+4,$E50&gt;=J$4),1,""))</f>
        <v/>
      </c>
      <c r="K50" s="30" t="str">
        <f aca="false">IF(OR($D50="",$E50=""),"",IF(AND($D50&lt;=K$4+4,$E50&gt;=K$4),1,""))</f>
        <v/>
      </c>
      <c r="L50" s="30" t="str">
        <f aca="false">IF(OR($D50="",$E50=""),"",IF(AND($D50&lt;=L$4+4,$E50&gt;=L$4),1,""))</f>
        <v/>
      </c>
      <c r="M50" s="30" t="str">
        <f aca="false">IF(OR($D50="",$E50=""),"",IF(AND($D50&lt;=M$4+4,$E50&gt;=M$4),1,""))</f>
        <v/>
      </c>
      <c r="N50" s="30" t="str">
        <f aca="false">IF(OR($D50="",$E50=""),"",IF(AND($D50&lt;=N$4+4,$E50&gt;=N$4),1,""))</f>
        <v/>
      </c>
      <c r="O50" s="30" t="str">
        <f aca="false">IF(OR($D50="",$E50=""),"",IF(AND($D50&lt;=O$4+4,$E50&gt;=O$4),1,""))</f>
        <v/>
      </c>
      <c r="P50" s="30" t="str">
        <f aca="false">IF(OR($D50="",$E50=""),"",IF(AND($D50&lt;=P$4+4,$E50&gt;=P$4),1,""))</f>
        <v/>
      </c>
      <c r="Q50" s="30" t="str">
        <f aca="false">IF(OR($D50="",$E50=""),"",IF(AND($D50&lt;=Q$4+4,$E50&gt;=Q$4),1,""))</f>
        <v/>
      </c>
      <c r="R50" s="30" t="str">
        <f aca="false">IF(OR($D50="",$E50=""),"",IF(AND($D50&lt;=R$4+4,$E50&gt;=R$4),1,""))</f>
        <v/>
      </c>
      <c r="S50" s="30" t="str">
        <f aca="false">IF(OR($D50="",$E50=""),"",IF(AND($D50&lt;=S$4+4,$E50&gt;=S$4),1,""))</f>
        <v/>
      </c>
      <c r="T50" s="30" t="str">
        <f aca="false">IF(OR($D50="",$E50=""),"",IF(AND($D50&lt;=T$4+4,$E50&gt;=T$4),1,""))</f>
        <v/>
      </c>
      <c r="U50" s="30" t="str">
        <f aca="false">IF(OR($D50="",$E50=""),"",IF(AND($D50&lt;=U$4+4,$E50&gt;=U$4),1,""))</f>
        <v/>
      </c>
      <c r="V50" s="30" t="str">
        <f aca="false">IF(OR($D50="",$E50=""),"",IF(AND($D50&lt;=V$4+4,$E50&gt;=V$4),1,""))</f>
        <v/>
      </c>
      <c r="W50" s="30" t="str">
        <f aca="false">IF(OR($D50="",$E50=""),"",IF(AND($D50&lt;=W$4+4,$E50&gt;=W$4),1,""))</f>
        <v/>
      </c>
      <c r="X50" s="30" t="str">
        <f aca="false">IF(OR($D50="",$E50=""),"",IF(AND($D50&lt;=X$4+4,$E50&gt;=X$4),1,""))</f>
        <v/>
      </c>
      <c r="Y50" s="30" t="str">
        <f aca="false">IF(OR($D50="",$E50=""),"",IF(AND($D50&lt;=Y$4+4,$E50&gt;=Y$4),1,""))</f>
        <v/>
      </c>
      <c r="Z50" s="30" t="str">
        <f aca="false">IF(OR($D50="",$E50=""),"",IF(AND($D50&lt;=Z$4+4,$E50&gt;=Z$4),1,""))</f>
        <v/>
      </c>
      <c r="AA50" s="30" t="str">
        <f aca="false">IF(OR($D50="",$E50=""),"",IF(AND($D50&lt;=AA$4+4,$E50&gt;=AA$4),1,""))</f>
        <v/>
      </c>
      <c r="AB50" s="30" t="str">
        <f aca="false">IF(OR($D50="",$E50=""),"",IF(AND($D50&lt;=AB$4+4,$E50&gt;=AB$4),1,""))</f>
        <v/>
      </c>
      <c r="AC50" s="30" t="str">
        <f aca="false">IF(OR($D50="",$E50=""),"",IF(AND($D50&lt;=AC$4+4,$E50&gt;=AC$4),1,""))</f>
        <v/>
      </c>
      <c r="AD50" s="30" t="str">
        <f aca="false">IF(OR($D50="",$E50=""),"",IF(AND($D50&lt;=AD$4+4,$E50&gt;=AD$4),1,""))</f>
        <v/>
      </c>
      <c r="AE50" s="30" t="str">
        <f aca="false">IF(OR($D50="",$E50=""),"",IF(AND($D50&lt;=AE$4+4,$E50&gt;=AE$4),1,""))</f>
        <v/>
      </c>
    </row>
    <row r="51" customFormat="false" ht="15" hidden="false" customHeight="false" outlineLevel="0" collapsed="false">
      <c r="A51" s="28" t="n">
        <v>45</v>
      </c>
      <c r="B51" s="14" t="str">
        <f aca="false">IFERROR(INDEX(Tablero!$A$5:$A$104,MATCH($A51,Tablero!$J$5:$J$104,0))&amp;"","")</f>
        <v/>
      </c>
      <c r="C51" s="14" t="str">
        <f aca="false">IFERROR(INDEX(Tablero!$B$5:$B$104,MATCH($A51,Tablero!$J$5:$J$104,0))&amp;"","")</f>
        <v/>
      </c>
      <c r="D51" s="29" t="str">
        <f aca="false">IFERROR(INDEX(Tablero!$R$5:$R$104,MATCH($A51,Tablero!$J$5:$J$104,0)),"")</f>
        <v/>
      </c>
      <c r="E51" s="29" t="str">
        <f aca="false">IFERROR(INDEX(Tablero!$S$5:$S$104,MATCH($A51,Tablero!$J$5:$J$104,0)),"")</f>
        <v/>
      </c>
      <c r="F51" s="30" t="str">
        <f aca="false">IF(OR($D51="",$E51=""),"",IF(AND($D51&lt;=F$4+4,$E51&gt;=F$4),1,""))</f>
        <v/>
      </c>
      <c r="G51" s="30" t="str">
        <f aca="false">IF(OR($D51="",$E51=""),"",IF(AND($D51&lt;=G$4+4,$E51&gt;=G$4),1,""))</f>
        <v/>
      </c>
      <c r="H51" s="30" t="str">
        <f aca="false">IF(OR($D51="",$E51=""),"",IF(AND($D51&lt;=H$4+4,$E51&gt;=H$4),1,""))</f>
        <v/>
      </c>
      <c r="I51" s="30" t="str">
        <f aca="false">IF(OR($D51="",$E51=""),"",IF(AND($D51&lt;=I$4+4,$E51&gt;=I$4),1,""))</f>
        <v/>
      </c>
      <c r="J51" s="30" t="str">
        <f aca="false">IF(OR($D51="",$E51=""),"",IF(AND($D51&lt;=J$4+4,$E51&gt;=J$4),1,""))</f>
        <v/>
      </c>
      <c r="K51" s="30" t="str">
        <f aca="false">IF(OR($D51="",$E51=""),"",IF(AND($D51&lt;=K$4+4,$E51&gt;=K$4),1,""))</f>
        <v/>
      </c>
      <c r="L51" s="30" t="str">
        <f aca="false">IF(OR($D51="",$E51=""),"",IF(AND($D51&lt;=L$4+4,$E51&gt;=L$4),1,""))</f>
        <v/>
      </c>
      <c r="M51" s="30" t="str">
        <f aca="false">IF(OR($D51="",$E51=""),"",IF(AND($D51&lt;=M$4+4,$E51&gt;=M$4),1,""))</f>
        <v/>
      </c>
      <c r="N51" s="30" t="str">
        <f aca="false">IF(OR($D51="",$E51=""),"",IF(AND($D51&lt;=N$4+4,$E51&gt;=N$4),1,""))</f>
        <v/>
      </c>
      <c r="O51" s="30" t="str">
        <f aca="false">IF(OR($D51="",$E51=""),"",IF(AND($D51&lt;=O$4+4,$E51&gt;=O$4),1,""))</f>
        <v/>
      </c>
      <c r="P51" s="30" t="str">
        <f aca="false">IF(OR($D51="",$E51=""),"",IF(AND($D51&lt;=P$4+4,$E51&gt;=P$4),1,""))</f>
        <v/>
      </c>
      <c r="Q51" s="30" t="str">
        <f aca="false">IF(OR($D51="",$E51=""),"",IF(AND($D51&lt;=Q$4+4,$E51&gt;=Q$4),1,""))</f>
        <v/>
      </c>
      <c r="R51" s="30" t="str">
        <f aca="false">IF(OR($D51="",$E51=""),"",IF(AND($D51&lt;=R$4+4,$E51&gt;=R$4),1,""))</f>
        <v/>
      </c>
      <c r="S51" s="30" t="str">
        <f aca="false">IF(OR($D51="",$E51=""),"",IF(AND($D51&lt;=S$4+4,$E51&gt;=S$4),1,""))</f>
        <v/>
      </c>
      <c r="T51" s="30" t="str">
        <f aca="false">IF(OR($D51="",$E51=""),"",IF(AND($D51&lt;=T$4+4,$E51&gt;=T$4),1,""))</f>
        <v/>
      </c>
      <c r="U51" s="30" t="str">
        <f aca="false">IF(OR($D51="",$E51=""),"",IF(AND($D51&lt;=U$4+4,$E51&gt;=U$4),1,""))</f>
        <v/>
      </c>
      <c r="V51" s="30" t="str">
        <f aca="false">IF(OR($D51="",$E51=""),"",IF(AND($D51&lt;=V$4+4,$E51&gt;=V$4),1,""))</f>
        <v/>
      </c>
      <c r="W51" s="30" t="str">
        <f aca="false">IF(OR($D51="",$E51=""),"",IF(AND($D51&lt;=W$4+4,$E51&gt;=W$4),1,""))</f>
        <v/>
      </c>
      <c r="X51" s="30" t="str">
        <f aca="false">IF(OR($D51="",$E51=""),"",IF(AND($D51&lt;=X$4+4,$E51&gt;=X$4),1,""))</f>
        <v/>
      </c>
      <c r="Y51" s="30" t="str">
        <f aca="false">IF(OR($D51="",$E51=""),"",IF(AND($D51&lt;=Y$4+4,$E51&gt;=Y$4),1,""))</f>
        <v/>
      </c>
      <c r="Z51" s="30" t="str">
        <f aca="false">IF(OR($D51="",$E51=""),"",IF(AND($D51&lt;=Z$4+4,$E51&gt;=Z$4),1,""))</f>
        <v/>
      </c>
      <c r="AA51" s="30" t="str">
        <f aca="false">IF(OR($D51="",$E51=""),"",IF(AND($D51&lt;=AA$4+4,$E51&gt;=AA$4),1,""))</f>
        <v/>
      </c>
      <c r="AB51" s="30" t="str">
        <f aca="false">IF(OR($D51="",$E51=""),"",IF(AND($D51&lt;=AB$4+4,$E51&gt;=AB$4),1,""))</f>
        <v/>
      </c>
      <c r="AC51" s="30" t="str">
        <f aca="false">IF(OR($D51="",$E51=""),"",IF(AND($D51&lt;=AC$4+4,$E51&gt;=AC$4),1,""))</f>
        <v/>
      </c>
      <c r="AD51" s="30" t="str">
        <f aca="false">IF(OR($D51="",$E51=""),"",IF(AND($D51&lt;=AD$4+4,$E51&gt;=AD$4),1,""))</f>
        <v/>
      </c>
      <c r="AE51" s="30" t="str">
        <f aca="false">IF(OR($D51="",$E51=""),"",IF(AND($D51&lt;=AE$4+4,$E51&gt;=AE$4),1,""))</f>
        <v/>
      </c>
    </row>
    <row r="52" customFormat="false" ht="15" hidden="false" customHeight="false" outlineLevel="0" collapsed="false">
      <c r="A52" s="28" t="n">
        <v>46</v>
      </c>
      <c r="B52" s="14" t="str">
        <f aca="false">IFERROR(INDEX(Tablero!$A$5:$A$104,MATCH($A52,Tablero!$J$5:$J$104,0))&amp;"","")</f>
        <v/>
      </c>
      <c r="C52" s="14" t="str">
        <f aca="false">IFERROR(INDEX(Tablero!$B$5:$B$104,MATCH($A52,Tablero!$J$5:$J$104,0))&amp;"","")</f>
        <v/>
      </c>
      <c r="D52" s="29" t="str">
        <f aca="false">IFERROR(INDEX(Tablero!$R$5:$R$104,MATCH($A52,Tablero!$J$5:$J$104,0)),"")</f>
        <v/>
      </c>
      <c r="E52" s="29" t="str">
        <f aca="false">IFERROR(INDEX(Tablero!$S$5:$S$104,MATCH($A52,Tablero!$J$5:$J$104,0)),"")</f>
        <v/>
      </c>
      <c r="F52" s="30" t="str">
        <f aca="false">IF(OR($D52="",$E52=""),"",IF(AND($D52&lt;=F$4+4,$E52&gt;=F$4),1,""))</f>
        <v/>
      </c>
      <c r="G52" s="30" t="str">
        <f aca="false">IF(OR($D52="",$E52=""),"",IF(AND($D52&lt;=G$4+4,$E52&gt;=G$4),1,""))</f>
        <v/>
      </c>
      <c r="H52" s="30" t="str">
        <f aca="false">IF(OR($D52="",$E52=""),"",IF(AND($D52&lt;=H$4+4,$E52&gt;=H$4),1,""))</f>
        <v/>
      </c>
      <c r="I52" s="30" t="str">
        <f aca="false">IF(OR($D52="",$E52=""),"",IF(AND($D52&lt;=I$4+4,$E52&gt;=I$4),1,""))</f>
        <v/>
      </c>
      <c r="J52" s="30" t="str">
        <f aca="false">IF(OR($D52="",$E52=""),"",IF(AND($D52&lt;=J$4+4,$E52&gt;=J$4),1,""))</f>
        <v/>
      </c>
      <c r="K52" s="30" t="str">
        <f aca="false">IF(OR($D52="",$E52=""),"",IF(AND($D52&lt;=K$4+4,$E52&gt;=K$4),1,""))</f>
        <v/>
      </c>
      <c r="L52" s="30" t="str">
        <f aca="false">IF(OR($D52="",$E52=""),"",IF(AND($D52&lt;=L$4+4,$E52&gt;=L$4),1,""))</f>
        <v/>
      </c>
      <c r="M52" s="30" t="str">
        <f aca="false">IF(OR($D52="",$E52=""),"",IF(AND($D52&lt;=M$4+4,$E52&gt;=M$4),1,""))</f>
        <v/>
      </c>
      <c r="N52" s="30" t="str">
        <f aca="false">IF(OR($D52="",$E52=""),"",IF(AND($D52&lt;=N$4+4,$E52&gt;=N$4),1,""))</f>
        <v/>
      </c>
      <c r="O52" s="30" t="str">
        <f aca="false">IF(OR($D52="",$E52=""),"",IF(AND($D52&lt;=O$4+4,$E52&gt;=O$4),1,""))</f>
        <v/>
      </c>
      <c r="P52" s="30" t="str">
        <f aca="false">IF(OR($D52="",$E52=""),"",IF(AND($D52&lt;=P$4+4,$E52&gt;=P$4),1,""))</f>
        <v/>
      </c>
      <c r="Q52" s="30" t="str">
        <f aca="false">IF(OR($D52="",$E52=""),"",IF(AND($D52&lt;=Q$4+4,$E52&gt;=Q$4),1,""))</f>
        <v/>
      </c>
      <c r="R52" s="30" t="str">
        <f aca="false">IF(OR($D52="",$E52=""),"",IF(AND($D52&lt;=R$4+4,$E52&gt;=R$4),1,""))</f>
        <v/>
      </c>
      <c r="S52" s="30" t="str">
        <f aca="false">IF(OR($D52="",$E52=""),"",IF(AND($D52&lt;=S$4+4,$E52&gt;=S$4),1,""))</f>
        <v/>
      </c>
      <c r="T52" s="30" t="str">
        <f aca="false">IF(OR($D52="",$E52=""),"",IF(AND($D52&lt;=T$4+4,$E52&gt;=T$4),1,""))</f>
        <v/>
      </c>
      <c r="U52" s="30" t="str">
        <f aca="false">IF(OR($D52="",$E52=""),"",IF(AND($D52&lt;=U$4+4,$E52&gt;=U$4),1,""))</f>
        <v/>
      </c>
      <c r="V52" s="30" t="str">
        <f aca="false">IF(OR($D52="",$E52=""),"",IF(AND($D52&lt;=V$4+4,$E52&gt;=V$4),1,""))</f>
        <v/>
      </c>
      <c r="W52" s="30" t="str">
        <f aca="false">IF(OR($D52="",$E52=""),"",IF(AND($D52&lt;=W$4+4,$E52&gt;=W$4),1,""))</f>
        <v/>
      </c>
      <c r="X52" s="30" t="str">
        <f aca="false">IF(OR($D52="",$E52=""),"",IF(AND($D52&lt;=X$4+4,$E52&gt;=X$4),1,""))</f>
        <v/>
      </c>
      <c r="Y52" s="30" t="str">
        <f aca="false">IF(OR($D52="",$E52=""),"",IF(AND($D52&lt;=Y$4+4,$E52&gt;=Y$4),1,""))</f>
        <v/>
      </c>
      <c r="Z52" s="30" t="str">
        <f aca="false">IF(OR($D52="",$E52=""),"",IF(AND($D52&lt;=Z$4+4,$E52&gt;=Z$4),1,""))</f>
        <v/>
      </c>
      <c r="AA52" s="30" t="str">
        <f aca="false">IF(OR($D52="",$E52=""),"",IF(AND($D52&lt;=AA$4+4,$E52&gt;=AA$4),1,""))</f>
        <v/>
      </c>
      <c r="AB52" s="30" t="str">
        <f aca="false">IF(OR($D52="",$E52=""),"",IF(AND($D52&lt;=AB$4+4,$E52&gt;=AB$4),1,""))</f>
        <v/>
      </c>
      <c r="AC52" s="30" t="str">
        <f aca="false">IF(OR($D52="",$E52=""),"",IF(AND($D52&lt;=AC$4+4,$E52&gt;=AC$4),1,""))</f>
        <v/>
      </c>
      <c r="AD52" s="30" t="str">
        <f aca="false">IF(OR($D52="",$E52=""),"",IF(AND($D52&lt;=AD$4+4,$E52&gt;=AD$4),1,""))</f>
        <v/>
      </c>
      <c r="AE52" s="30" t="str">
        <f aca="false">IF(OR($D52="",$E52=""),"",IF(AND($D52&lt;=AE$4+4,$E52&gt;=AE$4),1,""))</f>
        <v/>
      </c>
    </row>
    <row r="53" customFormat="false" ht="15" hidden="false" customHeight="false" outlineLevel="0" collapsed="false">
      <c r="A53" s="28" t="n">
        <v>47</v>
      </c>
      <c r="B53" s="14" t="str">
        <f aca="false">IFERROR(INDEX(Tablero!$A$5:$A$104,MATCH($A53,Tablero!$J$5:$J$104,0))&amp;"","")</f>
        <v/>
      </c>
      <c r="C53" s="14" t="str">
        <f aca="false">IFERROR(INDEX(Tablero!$B$5:$B$104,MATCH($A53,Tablero!$J$5:$J$104,0))&amp;"","")</f>
        <v/>
      </c>
      <c r="D53" s="29" t="str">
        <f aca="false">IFERROR(INDEX(Tablero!$R$5:$R$104,MATCH($A53,Tablero!$J$5:$J$104,0)),"")</f>
        <v/>
      </c>
      <c r="E53" s="29" t="str">
        <f aca="false">IFERROR(INDEX(Tablero!$S$5:$S$104,MATCH($A53,Tablero!$J$5:$J$104,0)),"")</f>
        <v/>
      </c>
      <c r="F53" s="30" t="str">
        <f aca="false">IF(OR($D53="",$E53=""),"",IF(AND($D53&lt;=F$4+4,$E53&gt;=F$4),1,""))</f>
        <v/>
      </c>
      <c r="G53" s="30" t="str">
        <f aca="false">IF(OR($D53="",$E53=""),"",IF(AND($D53&lt;=G$4+4,$E53&gt;=G$4),1,""))</f>
        <v/>
      </c>
      <c r="H53" s="30" t="str">
        <f aca="false">IF(OR($D53="",$E53=""),"",IF(AND($D53&lt;=H$4+4,$E53&gt;=H$4),1,""))</f>
        <v/>
      </c>
      <c r="I53" s="30" t="str">
        <f aca="false">IF(OR($D53="",$E53=""),"",IF(AND($D53&lt;=I$4+4,$E53&gt;=I$4),1,""))</f>
        <v/>
      </c>
      <c r="J53" s="30" t="str">
        <f aca="false">IF(OR($D53="",$E53=""),"",IF(AND($D53&lt;=J$4+4,$E53&gt;=J$4),1,""))</f>
        <v/>
      </c>
      <c r="K53" s="30" t="str">
        <f aca="false">IF(OR($D53="",$E53=""),"",IF(AND($D53&lt;=K$4+4,$E53&gt;=K$4),1,""))</f>
        <v/>
      </c>
      <c r="L53" s="30" t="str">
        <f aca="false">IF(OR($D53="",$E53=""),"",IF(AND($D53&lt;=L$4+4,$E53&gt;=L$4),1,""))</f>
        <v/>
      </c>
      <c r="M53" s="30" t="str">
        <f aca="false">IF(OR($D53="",$E53=""),"",IF(AND($D53&lt;=M$4+4,$E53&gt;=M$4),1,""))</f>
        <v/>
      </c>
      <c r="N53" s="30" t="str">
        <f aca="false">IF(OR($D53="",$E53=""),"",IF(AND($D53&lt;=N$4+4,$E53&gt;=N$4),1,""))</f>
        <v/>
      </c>
      <c r="O53" s="30" t="str">
        <f aca="false">IF(OR($D53="",$E53=""),"",IF(AND($D53&lt;=O$4+4,$E53&gt;=O$4),1,""))</f>
        <v/>
      </c>
      <c r="P53" s="30" t="str">
        <f aca="false">IF(OR($D53="",$E53=""),"",IF(AND($D53&lt;=P$4+4,$E53&gt;=P$4),1,""))</f>
        <v/>
      </c>
      <c r="Q53" s="30" t="str">
        <f aca="false">IF(OR($D53="",$E53=""),"",IF(AND($D53&lt;=Q$4+4,$E53&gt;=Q$4),1,""))</f>
        <v/>
      </c>
      <c r="R53" s="30" t="str">
        <f aca="false">IF(OR($D53="",$E53=""),"",IF(AND($D53&lt;=R$4+4,$E53&gt;=R$4),1,""))</f>
        <v/>
      </c>
      <c r="S53" s="30" t="str">
        <f aca="false">IF(OR($D53="",$E53=""),"",IF(AND($D53&lt;=S$4+4,$E53&gt;=S$4),1,""))</f>
        <v/>
      </c>
      <c r="T53" s="30" t="str">
        <f aca="false">IF(OR($D53="",$E53=""),"",IF(AND($D53&lt;=T$4+4,$E53&gt;=T$4),1,""))</f>
        <v/>
      </c>
      <c r="U53" s="30" t="str">
        <f aca="false">IF(OR($D53="",$E53=""),"",IF(AND($D53&lt;=U$4+4,$E53&gt;=U$4),1,""))</f>
        <v/>
      </c>
      <c r="V53" s="30" t="str">
        <f aca="false">IF(OR($D53="",$E53=""),"",IF(AND($D53&lt;=V$4+4,$E53&gt;=V$4),1,""))</f>
        <v/>
      </c>
      <c r="W53" s="30" t="str">
        <f aca="false">IF(OR($D53="",$E53=""),"",IF(AND($D53&lt;=W$4+4,$E53&gt;=W$4),1,""))</f>
        <v/>
      </c>
      <c r="X53" s="30" t="str">
        <f aca="false">IF(OR($D53="",$E53=""),"",IF(AND($D53&lt;=X$4+4,$E53&gt;=X$4),1,""))</f>
        <v/>
      </c>
      <c r="Y53" s="30" t="str">
        <f aca="false">IF(OR($D53="",$E53=""),"",IF(AND($D53&lt;=Y$4+4,$E53&gt;=Y$4),1,""))</f>
        <v/>
      </c>
      <c r="Z53" s="30" t="str">
        <f aca="false">IF(OR($D53="",$E53=""),"",IF(AND($D53&lt;=Z$4+4,$E53&gt;=Z$4),1,""))</f>
        <v/>
      </c>
      <c r="AA53" s="30" t="str">
        <f aca="false">IF(OR($D53="",$E53=""),"",IF(AND($D53&lt;=AA$4+4,$E53&gt;=AA$4),1,""))</f>
        <v/>
      </c>
      <c r="AB53" s="30" t="str">
        <f aca="false">IF(OR($D53="",$E53=""),"",IF(AND($D53&lt;=AB$4+4,$E53&gt;=AB$4),1,""))</f>
        <v/>
      </c>
      <c r="AC53" s="30" t="str">
        <f aca="false">IF(OR($D53="",$E53=""),"",IF(AND($D53&lt;=AC$4+4,$E53&gt;=AC$4),1,""))</f>
        <v/>
      </c>
      <c r="AD53" s="30" t="str">
        <f aca="false">IF(OR($D53="",$E53=""),"",IF(AND($D53&lt;=AD$4+4,$E53&gt;=AD$4),1,""))</f>
        <v/>
      </c>
      <c r="AE53" s="30" t="str">
        <f aca="false">IF(OR($D53="",$E53=""),"",IF(AND($D53&lt;=AE$4+4,$E53&gt;=AE$4),1,""))</f>
        <v/>
      </c>
    </row>
    <row r="54" customFormat="false" ht="15" hidden="false" customHeight="false" outlineLevel="0" collapsed="false">
      <c r="A54" s="28" t="n">
        <v>48</v>
      </c>
      <c r="B54" s="14" t="str">
        <f aca="false">IFERROR(INDEX(Tablero!$A$5:$A$104,MATCH($A54,Tablero!$J$5:$J$104,0))&amp;"","")</f>
        <v/>
      </c>
      <c r="C54" s="14" t="str">
        <f aca="false">IFERROR(INDEX(Tablero!$B$5:$B$104,MATCH($A54,Tablero!$J$5:$J$104,0))&amp;"","")</f>
        <v/>
      </c>
      <c r="D54" s="29" t="str">
        <f aca="false">IFERROR(INDEX(Tablero!$R$5:$R$104,MATCH($A54,Tablero!$J$5:$J$104,0)),"")</f>
        <v/>
      </c>
      <c r="E54" s="29" t="str">
        <f aca="false">IFERROR(INDEX(Tablero!$S$5:$S$104,MATCH($A54,Tablero!$J$5:$J$104,0)),"")</f>
        <v/>
      </c>
      <c r="F54" s="30" t="str">
        <f aca="false">IF(OR($D54="",$E54=""),"",IF(AND($D54&lt;=F$4+4,$E54&gt;=F$4),1,""))</f>
        <v/>
      </c>
      <c r="G54" s="30" t="str">
        <f aca="false">IF(OR($D54="",$E54=""),"",IF(AND($D54&lt;=G$4+4,$E54&gt;=G$4),1,""))</f>
        <v/>
      </c>
      <c r="H54" s="30" t="str">
        <f aca="false">IF(OR($D54="",$E54=""),"",IF(AND($D54&lt;=H$4+4,$E54&gt;=H$4),1,""))</f>
        <v/>
      </c>
      <c r="I54" s="30" t="str">
        <f aca="false">IF(OR($D54="",$E54=""),"",IF(AND($D54&lt;=I$4+4,$E54&gt;=I$4),1,""))</f>
        <v/>
      </c>
      <c r="J54" s="30" t="str">
        <f aca="false">IF(OR($D54="",$E54=""),"",IF(AND($D54&lt;=J$4+4,$E54&gt;=J$4),1,""))</f>
        <v/>
      </c>
      <c r="K54" s="30" t="str">
        <f aca="false">IF(OR($D54="",$E54=""),"",IF(AND($D54&lt;=K$4+4,$E54&gt;=K$4),1,""))</f>
        <v/>
      </c>
      <c r="L54" s="30" t="str">
        <f aca="false">IF(OR($D54="",$E54=""),"",IF(AND($D54&lt;=L$4+4,$E54&gt;=L$4),1,""))</f>
        <v/>
      </c>
      <c r="M54" s="30" t="str">
        <f aca="false">IF(OR($D54="",$E54=""),"",IF(AND($D54&lt;=M$4+4,$E54&gt;=M$4),1,""))</f>
        <v/>
      </c>
      <c r="N54" s="30" t="str">
        <f aca="false">IF(OR($D54="",$E54=""),"",IF(AND($D54&lt;=N$4+4,$E54&gt;=N$4),1,""))</f>
        <v/>
      </c>
      <c r="O54" s="30" t="str">
        <f aca="false">IF(OR($D54="",$E54=""),"",IF(AND($D54&lt;=O$4+4,$E54&gt;=O$4),1,""))</f>
        <v/>
      </c>
      <c r="P54" s="30" t="str">
        <f aca="false">IF(OR($D54="",$E54=""),"",IF(AND($D54&lt;=P$4+4,$E54&gt;=P$4),1,""))</f>
        <v/>
      </c>
      <c r="Q54" s="30" t="str">
        <f aca="false">IF(OR($D54="",$E54=""),"",IF(AND($D54&lt;=Q$4+4,$E54&gt;=Q$4),1,""))</f>
        <v/>
      </c>
      <c r="R54" s="30" t="str">
        <f aca="false">IF(OR($D54="",$E54=""),"",IF(AND($D54&lt;=R$4+4,$E54&gt;=R$4),1,""))</f>
        <v/>
      </c>
      <c r="S54" s="30" t="str">
        <f aca="false">IF(OR($D54="",$E54=""),"",IF(AND($D54&lt;=S$4+4,$E54&gt;=S$4),1,""))</f>
        <v/>
      </c>
      <c r="T54" s="30" t="str">
        <f aca="false">IF(OR($D54="",$E54=""),"",IF(AND($D54&lt;=T$4+4,$E54&gt;=T$4),1,""))</f>
        <v/>
      </c>
      <c r="U54" s="30" t="str">
        <f aca="false">IF(OR($D54="",$E54=""),"",IF(AND($D54&lt;=U$4+4,$E54&gt;=U$4),1,""))</f>
        <v/>
      </c>
      <c r="V54" s="30" t="str">
        <f aca="false">IF(OR($D54="",$E54=""),"",IF(AND($D54&lt;=V$4+4,$E54&gt;=V$4),1,""))</f>
        <v/>
      </c>
      <c r="W54" s="30" t="str">
        <f aca="false">IF(OR($D54="",$E54=""),"",IF(AND($D54&lt;=W$4+4,$E54&gt;=W$4),1,""))</f>
        <v/>
      </c>
      <c r="X54" s="30" t="str">
        <f aca="false">IF(OR($D54="",$E54=""),"",IF(AND($D54&lt;=X$4+4,$E54&gt;=X$4),1,""))</f>
        <v/>
      </c>
      <c r="Y54" s="30" t="str">
        <f aca="false">IF(OR($D54="",$E54=""),"",IF(AND($D54&lt;=Y$4+4,$E54&gt;=Y$4),1,""))</f>
        <v/>
      </c>
      <c r="Z54" s="30" t="str">
        <f aca="false">IF(OR($D54="",$E54=""),"",IF(AND($D54&lt;=Z$4+4,$E54&gt;=Z$4),1,""))</f>
        <v/>
      </c>
      <c r="AA54" s="30" t="str">
        <f aca="false">IF(OR($D54="",$E54=""),"",IF(AND($D54&lt;=AA$4+4,$E54&gt;=AA$4),1,""))</f>
        <v/>
      </c>
      <c r="AB54" s="30" t="str">
        <f aca="false">IF(OR($D54="",$E54=""),"",IF(AND($D54&lt;=AB$4+4,$E54&gt;=AB$4),1,""))</f>
        <v/>
      </c>
      <c r="AC54" s="30" t="str">
        <f aca="false">IF(OR($D54="",$E54=""),"",IF(AND($D54&lt;=AC$4+4,$E54&gt;=AC$4),1,""))</f>
        <v/>
      </c>
      <c r="AD54" s="30" t="str">
        <f aca="false">IF(OR($D54="",$E54=""),"",IF(AND($D54&lt;=AD$4+4,$E54&gt;=AD$4),1,""))</f>
        <v/>
      </c>
      <c r="AE54" s="30" t="str">
        <f aca="false">IF(OR($D54="",$E54=""),"",IF(AND($D54&lt;=AE$4+4,$E54&gt;=AE$4),1,""))</f>
        <v/>
      </c>
    </row>
    <row r="55" customFormat="false" ht="15" hidden="false" customHeight="false" outlineLevel="0" collapsed="false">
      <c r="A55" s="28" t="n">
        <v>49</v>
      </c>
      <c r="B55" s="14" t="str">
        <f aca="false">IFERROR(INDEX(Tablero!$A$5:$A$104,MATCH($A55,Tablero!$J$5:$J$104,0))&amp;"","")</f>
        <v/>
      </c>
      <c r="C55" s="14" t="str">
        <f aca="false">IFERROR(INDEX(Tablero!$B$5:$B$104,MATCH($A55,Tablero!$J$5:$J$104,0))&amp;"","")</f>
        <v/>
      </c>
      <c r="D55" s="29" t="str">
        <f aca="false">IFERROR(INDEX(Tablero!$R$5:$R$104,MATCH($A55,Tablero!$J$5:$J$104,0)),"")</f>
        <v/>
      </c>
      <c r="E55" s="29" t="str">
        <f aca="false">IFERROR(INDEX(Tablero!$S$5:$S$104,MATCH($A55,Tablero!$J$5:$J$104,0)),"")</f>
        <v/>
      </c>
      <c r="F55" s="30" t="str">
        <f aca="false">IF(OR($D55="",$E55=""),"",IF(AND($D55&lt;=F$4+4,$E55&gt;=F$4),1,""))</f>
        <v/>
      </c>
      <c r="G55" s="30" t="str">
        <f aca="false">IF(OR($D55="",$E55=""),"",IF(AND($D55&lt;=G$4+4,$E55&gt;=G$4),1,""))</f>
        <v/>
      </c>
      <c r="H55" s="30" t="str">
        <f aca="false">IF(OR($D55="",$E55=""),"",IF(AND($D55&lt;=H$4+4,$E55&gt;=H$4),1,""))</f>
        <v/>
      </c>
      <c r="I55" s="30" t="str">
        <f aca="false">IF(OR($D55="",$E55=""),"",IF(AND($D55&lt;=I$4+4,$E55&gt;=I$4),1,""))</f>
        <v/>
      </c>
      <c r="J55" s="30" t="str">
        <f aca="false">IF(OR($D55="",$E55=""),"",IF(AND($D55&lt;=J$4+4,$E55&gt;=J$4),1,""))</f>
        <v/>
      </c>
      <c r="K55" s="30" t="str">
        <f aca="false">IF(OR($D55="",$E55=""),"",IF(AND($D55&lt;=K$4+4,$E55&gt;=K$4),1,""))</f>
        <v/>
      </c>
      <c r="L55" s="30" t="str">
        <f aca="false">IF(OR($D55="",$E55=""),"",IF(AND($D55&lt;=L$4+4,$E55&gt;=L$4),1,""))</f>
        <v/>
      </c>
      <c r="M55" s="30" t="str">
        <f aca="false">IF(OR($D55="",$E55=""),"",IF(AND($D55&lt;=M$4+4,$E55&gt;=M$4),1,""))</f>
        <v/>
      </c>
      <c r="N55" s="30" t="str">
        <f aca="false">IF(OR($D55="",$E55=""),"",IF(AND($D55&lt;=N$4+4,$E55&gt;=N$4),1,""))</f>
        <v/>
      </c>
      <c r="O55" s="30" t="str">
        <f aca="false">IF(OR($D55="",$E55=""),"",IF(AND($D55&lt;=O$4+4,$E55&gt;=O$4),1,""))</f>
        <v/>
      </c>
      <c r="P55" s="30" t="str">
        <f aca="false">IF(OR($D55="",$E55=""),"",IF(AND($D55&lt;=P$4+4,$E55&gt;=P$4),1,""))</f>
        <v/>
      </c>
      <c r="Q55" s="30" t="str">
        <f aca="false">IF(OR($D55="",$E55=""),"",IF(AND($D55&lt;=Q$4+4,$E55&gt;=Q$4),1,""))</f>
        <v/>
      </c>
      <c r="R55" s="30" t="str">
        <f aca="false">IF(OR($D55="",$E55=""),"",IF(AND($D55&lt;=R$4+4,$E55&gt;=R$4),1,""))</f>
        <v/>
      </c>
      <c r="S55" s="30" t="str">
        <f aca="false">IF(OR($D55="",$E55=""),"",IF(AND($D55&lt;=S$4+4,$E55&gt;=S$4),1,""))</f>
        <v/>
      </c>
      <c r="T55" s="30" t="str">
        <f aca="false">IF(OR($D55="",$E55=""),"",IF(AND($D55&lt;=T$4+4,$E55&gt;=T$4),1,""))</f>
        <v/>
      </c>
      <c r="U55" s="30" t="str">
        <f aca="false">IF(OR($D55="",$E55=""),"",IF(AND($D55&lt;=U$4+4,$E55&gt;=U$4),1,""))</f>
        <v/>
      </c>
      <c r="V55" s="30" t="str">
        <f aca="false">IF(OR($D55="",$E55=""),"",IF(AND($D55&lt;=V$4+4,$E55&gt;=V$4),1,""))</f>
        <v/>
      </c>
      <c r="W55" s="30" t="str">
        <f aca="false">IF(OR($D55="",$E55=""),"",IF(AND($D55&lt;=W$4+4,$E55&gt;=W$4),1,""))</f>
        <v/>
      </c>
      <c r="X55" s="30" t="str">
        <f aca="false">IF(OR($D55="",$E55=""),"",IF(AND($D55&lt;=X$4+4,$E55&gt;=X$4),1,""))</f>
        <v/>
      </c>
      <c r="Y55" s="30" t="str">
        <f aca="false">IF(OR($D55="",$E55=""),"",IF(AND($D55&lt;=Y$4+4,$E55&gt;=Y$4),1,""))</f>
        <v/>
      </c>
      <c r="Z55" s="30" t="str">
        <f aca="false">IF(OR($D55="",$E55=""),"",IF(AND($D55&lt;=Z$4+4,$E55&gt;=Z$4),1,""))</f>
        <v/>
      </c>
      <c r="AA55" s="30" t="str">
        <f aca="false">IF(OR($D55="",$E55=""),"",IF(AND($D55&lt;=AA$4+4,$E55&gt;=AA$4),1,""))</f>
        <v/>
      </c>
      <c r="AB55" s="30" t="str">
        <f aca="false">IF(OR($D55="",$E55=""),"",IF(AND($D55&lt;=AB$4+4,$E55&gt;=AB$4),1,""))</f>
        <v/>
      </c>
      <c r="AC55" s="30" t="str">
        <f aca="false">IF(OR($D55="",$E55=""),"",IF(AND($D55&lt;=AC$4+4,$E55&gt;=AC$4),1,""))</f>
        <v/>
      </c>
      <c r="AD55" s="30" t="str">
        <f aca="false">IF(OR($D55="",$E55=""),"",IF(AND($D55&lt;=AD$4+4,$E55&gt;=AD$4),1,""))</f>
        <v/>
      </c>
      <c r="AE55" s="30" t="str">
        <f aca="false">IF(OR($D55="",$E55=""),"",IF(AND($D55&lt;=AE$4+4,$E55&gt;=AE$4),1,""))</f>
        <v/>
      </c>
    </row>
    <row r="56" customFormat="false" ht="15" hidden="false" customHeight="false" outlineLevel="0" collapsed="false">
      <c r="A56" s="28" t="n">
        <v>50</v>
      </c>
      <c r="B56" s="14" t="str">
        <f aca="false">IFERROR(INDEX(Tablero!$A$5:$A$104,MATCH($A56,Tablero!$J$5:$J$104,0))&amp;"","")</f>
        <v/>
      </c>
      <c r="C56" s="14" t="str">
        <f aca="false">IFERROR(INDEX(Tablero!$B$5:$B$104,MATCH($A56,Tablero!$J$5:$J$104,0))&amp;"","")</f>
        <v/>
      </c>
      <c r="D56" s="29" t="str">
        <f aca="false">IFERROR(INDEX(Tablero!$R$5:$R$104,MATCH($A56,Tablero!$J$5:$J$104,0)),"")</f>
        <v/>
      </c>
      <c r="E56" s="29" t="str">
        <f aca="false">IFERROR(INDEX(Tablero!$S$5:$S$104,MATCH($A56,Tablero!$J$5:$J$104,0)),"")</f>
        <v/>
      </c>
      <c r="F56" s="30" t="str">
        <f aca="false">IF(OR($D56="",$E56=""),"",IF(AND($D56&lt;=F$4+4,$E56&gt;=F$4),1,""))</f>
        <v/>
      </c>
      <c r="G56" s="30" t="str">
        <f aca="false">IF(OR($D56="",$E56=""),"",IF(AND($D56&lt;=G$4+4,$E56&gt;=G$4),1,""))</f>
        <v/>
      </c>
      <c r="H56" s="30" t="str">
        <f aca="false">IF(OR($D56="",$E56=""),"",IF(AND($D56&lt;=H$4+4,$E56&gt;=H$4),1,""))</f>
        <v/>
      </c>
      <c r="I56" s="30" t="str">
        <f aca="false">IF(OR($D56="",$E56=""),"",IF(AND($D56&lt;=I$4+4,$E56&gt;=I$4),1,""))</f>
        <v/>
      </c>
      <c r="J56" s="30" t="str">
        <f aca="false">IF(OR($D56="",$E56=""),"",IF(AND($D56&lt;=J$4+4,$E56&gt;=J$4),1,""))</f>
        <v/>
      </c>
      <c r="K56" s="30" t="str">
        <f aca="false">IF(OR($D56="",$E56=""),"",IF(AND($D56&lt;=K$4+4,$E56&gt;=K$4),1,""))</f>
        <v/>
      </c>
      <c r="L56" s="30" t="str">
        <f aca="false">IF(OR($D56="",$E56=""),"",IF(AND($D56&lt;=L$4+4,$E56&gt;=L$4),1,""))</f>
        <v/>
      </c>
      <c r="M56" s="30" t="str">
        <f aca="false">IF(OR($D56="",$E56=""),"",IF(AND($D56&lt;=M$4+4,$E56&gt;=M$4),1,""))</f>
        <v/>
      </c>
      <c r="N56" s="30" t="str">
        <f aca="false">IF(OR($D56="",$E56=""),"",IF(AND($D56&lt;=N$4+4,$E56&gt;=N$4),1,""))</f>
        <v/>
      </c>
      <c r="O56" s="30" t="str">
        <f aca="false">IF(OR($D56="",$E56=""),"",IF(AND($D56&lt;=O$4+4,$E56&gt;=O$4),1,""))</f>
        <v/>
      </c>
      <c r="P56" s="30" t="str">
        <f aca="false">IF(OR($D56="",$E56=""),"",IF(AND($D56&lt;=P$4+4,$E56&gt;=P$4),1,""))</f>
        <v/>
      </c>
      <c r="Q56" s="30" t="str">
        <f aca="false">IF(OR($D56="",$E56=""),"",IF(AND($D56&lt;=Q$4+4,$E56&gt;=Q$4),1,""))</f>
        <v/>
      </c>
      <c r="R56" s="30" t="str">
        <f aca="false">IF(OR($D56="",$E56=""),"",IF(AND($D56&lt;=R$4+4,$E56&gt;=R$4),1,""))</f>
        <v/>
      </c>
      <c r="S56" s="30" t="str">
        <f aca="false">IF(OR($D56="",$E56=""),"",IF(AND($D56&lt;=S$4+4,$E56&gt;=S$4),1,""))</f>
        <v/>
      </c>
      <c r="T56" s="30" t="str">
        <f aca="false">IF(OR($D56="",$E56=""),"",IF(AND($D56&lt;=T$4+4,$E56&gt;=T$4),1,""))</f>
        <v/>
      </c>
      <c r="U56" s="30" t="str">
        <f aca="false">IF(OR($D56="",$E56=""),"",IF(AND($D56&lt;=U$4+4,$E56&gt;=U$4),1,""))</f>
        <v/>
      </c>
      <c r="V56" s="30" t="str">
        <f aca="false">IF(OR($D56="",$E56=""),"",IF(AND($D56&lt;=V$4+4,$E56&gt;=V$4),1,""))</f>
        <v/>
      </c>
      <c r="W56" s="30" t="str">
        <f aca="false">IF(OR($D56="",$E56=""),"",IF(AND($D56&lt;=W$4+4,$E56&gt;=W$4),1,""))</f>
        <v/>
      </c>
      <c r="X56" s="30" t="str">
        <f aca="false">IF(OR($D56="",$E56=""),"",IF(AND($D56&lt;=X$4+4,$E56&gt;=X$4),1,""))</f>
        <v/>
      </c>
      <c r="Y56" s="30" t="str">
        <f aca="false">IF(OR($D56="",$E56=""),"",IF(AND($D56&lt;=Y$4+4,$E56&gt;=Y$4),1,""))</f>
        <v/>
      </c>
      <c r="Z56" s="30" t="str">
        <f aca="false">IF(OR($D56="",$E56=""),"",IF(AND($D56&lt;=Z$4+4,$E56&gt;=Z$4),1,""))</f>
        <v/>
      </c>
      <c r="AA56" s="30" t="str">
        <f aca="false">IF(OR($D56="",$E56=""),"",IF(AND($D56&lt;=AA$4+4,$E56&gt;=AA$4),1,""))</f>
        <v/>
      </c>
      <c r="AB56" s="30" t="str">
        <f aca="false">IF(OR($D56="",$E56=""),"",IF(AND($D56&lt;=AB$4+4,$E56&gt;=AB$4),1,""))</f>
        <v/>
      </c>
      <c r="AC56" s="30" t="str">
        <f aca="false">IF(OR($D56="",$E56=""),"",IF(AND($D56&lt;=AC$4+4,$E56&gt;=AC$4),1,""))</f>
        <v/>
      </c>
      <c r="AD56" s="30" t="str">
        <f aca="false">IF(OR($D56="",$E56=""),"",IF(AND($D56&lt;=AD$4+4,$E56&gt;=AD$4),1,""))</f>
        <v/>
      </c>
      <c r="AE56" s="30" t="str">
        <f aca="false">IF(OR($D56="",$E56=""),"",IF(AND($D56&lt;=AE$4+4,$E56&gt;=AE$4),1,""))</f>
        <v/>
      </c>
    </row>
    <row r="57" customFormat="false" ht="15" hidden="false" customHeight="false" outlineLevel="0" collapsed="false">
      <c r="A57" s="28" t="n">
        <v>51</v>
      </c>
      <c r="B57" s="14" t="str">
        <f aca="false">IFERROR(INDEX(Tablero!$A$5:$A$104,MATCH($A57,Tablero!$J$5:$J$104,0))&amp;"","")</f>
        <v/>
      </c>
      <c r="C57" s="14" t="str">
        <f aca="false">IFERROR(INDEX(Tablero!$B$5:$B$104,MATCH($A57,Tablero!$J$5:$J$104,0))&amp;"","")</f>
        <v/>
      </c>
      <c r="D57" s="29" t="str">
        <f aca="false">IFERROR(INDEX(Tablero!$R$5:$R$104,MATCH($A57,Tablero!$J$5:$J$104,0)),"")</f>
        <v/>
      </c>
      <c r="E57" s="29" t="str">
        <f aca="false">IFERROR(INDEX(Tablero!$S$5:$S$104,MATCH($A57,Tablero!$J$5:$J$104,0)),"")</f>
        <v/>
      </c>
      <c r="F57" s="30" t="str">
        <f aca="false">IF(OR($D57="",$E57=""),"",IF(AND($D57&lt;=F$4+4,$E57&gt;=F$4),1,""))</f>
        <v/>
      </c>
      <c r="G57" s="30" t="str">
        <f aca="false">IF(OR($D57="",$E57=""),"",IF(AND($D57&lt;=G$4+4,$E57&gt;=G$4),1,""))</f>
        <v/>
      </c>
      <c r="H57" s="30" t="str">
        <f aca="false">IF(OR($D57="",$E57=""),"",IF(AND($D57&lt;=H$4+4,$E57&gt;=H$4),1,""))</f>
        <v/>
      </c>
      <c r="I57" s="30" t="str">
        <f aca="false">IF(OR($D57="",$E57=""),"",IF(AND($D57&lt;=I$4+4,$E57&gt;=I$4),1,""))</f>
        <v/>
      </c>
      <c r="J57" s="30" t="str">
        <f aca="false">IF(OR($D57="",$E57=""),"",IF(AND($D57&lt;=J$4+4,$E57&gt;=J$4),1,""))</f>
        <v/>
      </c>
      <c r="K57" s="30" t="str">
        <f aca="false">IF(OR($D57="",$E57=""),"",IF(AND($D57&lt;=K$4+4,$E57&gt;=K$4),1,""))</f>
        <v/>
      </c>
      <c r="L57" s="30" t="str">
        <f aca="false">IF(OR($D57="",$E57=""),"",IF(AND($D57&lt;=L$4+4,$E57&gt;=L$4),1,""))</f>
        <v/>
      </c>
      <c r="M57" s="30" t="str">
        <f aca="false">IF(OR($D57="",$E57=""),"",IF(AND($D57&lt;=M$4+4,$E57&gt;=M$4),1,""))</f>
        <v/>
      </c>
      <c r="N57" s="30" t="str">
        <f aca="false">IF(OR($D57="",$E57=""),"",IF(AND($D57&lt;=N$4+4,$E57&gt;=N$4),1,""))</f>
        <v/>
      </c>
      <c r="O57" s="30" t="str">
        <f aca="false">IF(OR($D57="",$E57=""),"",IF(AND($D57&lt;=O$4+4,$E57&gt;=O$4),1,""))</f>
        <v/>
      </c>
      <c r="P57" s="30" t="str">
        <f aca="false">IF(OR($D57="",$E57=""),"",IF(AND($D57&lt;=P$4+4,$E57&gt;=P$4),1,""))</f>
        <v/>
      </c>
      <c r="Q57" s="30" t="str">
        <f aca="false">IF(OR($D57="",$E57=""),"",IF(AND($D57&lt;=Q$4+4,$E57&gt;=Q$4),1,""))</f>
        <v/>
      </c>
      <c r="R57" s="30" t="str">
        <f aca="false">IF(OR($D57="",$E57=""),"",IF(AND($D57&lt;=R$4+4,$E57&gt;=R$4),1,""))</f>
        <v/>
      </c>
      <c r="S57" s="30" t="str">
        <f aca="false">IF(OR($D57="",$E57=""),"",IF(AND($D57&lt;=S$4+4,$E57&gt;=S$4),1,""))</f>
        <v/>
      </c>
      <c r="T57" s="30" t="str">
        <f aca="false">IF(OR($D57="",$E57=""),"",IF(AND($D57&lt;=T$4+4,$E57&gt;=T$4),1,""))</f>
        <v/>
      </c>
      <c r="U57" s="30" t="str">
        <f aca="false">IF(OR($D57="",$E57=""),"",IF(AND($D57&lt;=U$4+4,$E57&gt;=U$4),1,""))</f>
        <v/>
      </c>
      <c r="V57" s="30" t="str">
        <f aca="false">IF(OR($D57="",$E57=""),"",IF(AND($D57&lt;=V$4+4,$E57&gt;=V$4),1,""))</f>
        <v/>
      </c>
      <c r="W57" s="30" t="str">
        <f aca="false">IF(OR($D57="",$E57=""),"",IF(AND($D57&lt;=W$4+4,$E57&gt;=W$4),1,""))</f>
        <v/>
      </c>
      <c r="X57" s="30" t="str">
        <f aca="false">IF(OR($D57="",$E57=""),"",IF(AND($D57&lt;=X$4+4,$E57&gt;=X$4),1,""))</f>
        <v/>
      </c>
      <c r="Y57" s="30" t="str">
        <f aca="false">IF(OR($D57="",$E57=""),"",IF(AND($D57&lt;=Y$4+4,$E57&gt;=Y$4),1,""))</f>
        <v/>
      </c>
      <c r="Z57" s="30" t="str">
        <f aca="false">IF(OR($D57="",$E57=""),"",IF(AND($D57&lt;=Z$4+4,$E57&gt;=Z$4),1,""))</f>
        <v/>
      </c>
      <c r="AA57" s="30" t="str">
        <f aca="false">IF(OR($D57="",$E57=""),"",IF(AND($D57&lt;=AA$4+4,$E57&gt;=AA$4),1,""))</f>
        <v/>
      </c>
      <c r="AB57" s="30" t="str">
        <f aca="false">IF(OR($D57="",$E57=""),"",IF(AND($D57&lt;=AB$4+4,$E57&gt;=AB$4),1,""))</f>
        <v/>
      </c>
      <c r="AC57" s="30" t="str">
        <f aca="false">IF(OR($D57="",$E57=""),"",IF(AND($D57&lt;=AC$4+4,$E57&gt;=AC$4),1,""))</f>
        <v/>
      </c>
      <c r="AD57" s="30" t="str">
        <f aca="false">IF(OR($D57="",$E57=""),"",IF(AND($D57&lt;=AD$4+4,$E57&gt;=AD$4),1,""))</f>
        <v/>
      </c>
      <c r="AE57" s="30" t="str">
        <f aca="false">IF(OR($D57="",$E57=""),"",IF(AND($D57&lt;=AE$4+4,$E57&gt;=AE$4),1,""))</f>
        <v/>
      </c>
    </row>
    <row r="58" customFormat="false" ht="15" hidden="false" customHeight="false" outlineLevel="0" collapsed="false">
      <c r="A58" s="28" t="n">
        <v>52</v>
      </c>
      <c r="B58" s="14" t="str">
        <f aca="false">IFERROR(INDEX(Tablero!$A$5:$A$104,MATCH($A58,Tablero!$J$5:$J$104,0))&amp;"","")</f>
        <v/>
      </c>
      <c r="C58" s="14" t="str">
        <f aca="false">IFERROR(INDEX(Tablero!$B$5:$B$104,MATCH($A58,Tablero!$J$5:$J$104,0))&amp;"","")</f>
        <v/>
      </c>
      <c r="D58" s="29" t="str">
        <f aca="false">IFERROR(INDEX(Tablero!$R$5:$R$104,MATCH($A58,Tablero!$J$5:$J$104,0)),"")</f>
        <v/>
      </c>
      <c r="E58" s="29" t="str">
        <f aca="false">IFERROR(INDEX(Tablero!$S$5:$S$104,MATCH($A58,Tablero!$J$5:$J$104,0)),"")</f>
        <v/>
      </c>
      <c r="F58" s="30" t="str">
        <f aca="false">IF(OR($D58="",$E58=""),"",IF(AND($D58&lt;=F$4+4,$E58&gt;=F$4),1,""))</f>
        <v/>
      </c>
      <c r="G58" s="30" t="str">
        <f aca="false">IF(OR($D58="",$E58=""),"",IF(AND($D58&lt;=G$4+4,$E58&gt;=G$4),1,""))</f>
        <v/>
      </c>
      <c r="H58" s="30" t="str">
        <f aca="false">IF(OR($D58="",$E58=""),"",IF(AND($D58&lt;=H$4+4,$E58&gt;=H$4),1,""))</f>
        <v/>
      </c>
      <c r="I58" s="30" t="str">
        <f aca="false">IF(OR($D58="",$E58=""),"",IF(AND($D58&lt;=I$4+4,$E58&gt;=I$4),1,""))</f>
        <v/>
      </c>
      <c r="J58" s="30" t="str">
        <f aca="false">IF(OR($D58="",$E58=""),"",IF(AND($D58&lt;=J$4+4,$E58&gt;=J$4),1,""))</f>
        <v/>
      </c>
      <c r="K58" s="30" t="str">
        <f aca="false">IF(OR($D58="",$E58=""),"",IF(AND($D58&lt;=K$4+4,$E58&gt;=K$4),1,""))</f>
        <v/>
      </c>
      <c r="L58" s="30" t="str">
        <f aca="false">IF(OR($D58="",$E58=""),"",IF(AND($D58&lt;=L$4+4,$E58&gt;=L$4),1,""))</f>
        <v/>
      </c>
      <c r="M58" s="30" t="str">
        <f aca="false">IF(OR($D58="",$E58=""),"",IF(AND($D58&lt;=M$4+4,$E58&gt;=M$4),1,""))</f>
        <v/>
      </c>
      <c r="N58" s="30" t="str">
        <f aca="false">IF(OR($D58="",$E58=""),"",IF(AND($D58&lt;=N$4+4,$E58&gt;=N$4),1,""))</f>
        <v/>
      </c>
      <c r="O58" s="30" t="str">
        <f aca="false">IF(OR($D58="",$E58=""),"",IF(AND($D58&lt;=O$4+4,$E58&gt;=O$4),1,""))</f>
        <v/>
      </c>
      <c r="P58" s="30" t="str">
        <f aca="false">IF(OR($D58="",$E58=""),"",IF(AND($D58&lt;=P$4+4,$E58&gt;=P$4),1,""))</f>
        <v/>
      </c>
      <c r="Q58" s="30" t="str">
        <f aca="false">IF(OR($D58="",$E58=""),"",IF(AND($D58&lt;=Q$4+4,$E58&gt;=Q$4),1,""))</f>
        <v/>
      </c>
      <c r="R58" s="30" t="str">
        <f aca="false">IF(OR($D58="",$E58=""),"",IF(AND($D58&lt;=R$4+4,$E58&gt;=R$4),1,""))</f>
        <v/>
      </c>
      <c r="S58" s="30" t="str">
        <f aca="false">IF(OR($D58="",$E58=""),"",IF(AND($D58&lt;=S$4+4,$E58&gt;=S$4),1,""))</f>
        <v/>
      </c>
      <c r="T58" s="30" t="str">
        <f aca="false">IF(OR($D58="",$E58=""),"",IF(AND($D58&lt;=T$4+4,$E58&gt;=T$4),1,""))</f>
        <v/>
      </c>
      <c r="U58" s="30" t="str">
        <f aca="false">IF(OR($D58="",$E58=""),"",IF(AND($D58&lt;=U$4+4,$E58&gt;=U$4),1,""))</f>
        <v/>
      </c>
      <c r="V58" s="30" t="str">
        <f aca="false">IF(OR($D58="",$E58=""),"",IF(AND($D58&lt;=V$4+4,$E58&gt;=V$4),1,""))</f>
        <v/>
      </c>
      <c r="W58" s="30" t="str">
        <f aca="false">IF(OR($D58="",$E58=""),"",IF(AND($D58&lt;=W$4+4,$E58&gt;=W$4),1,""))</f>
        <v/>
      </c>
      <c r="X58" s="30" t="str">
        <f aca="false">IF(OR($D58="",$E58=""),"",IF(AND($D58&lt;=X$4+4,$E58&gt;=X$4),1,""))</f>
        <v/>
      </c>
      <c r="Y58" s="30" t="str">
        <f aca="false">IF(OR($D58="",$E58=""),"",IF(AND($D58&lt;=Y$4+4,$E58&gt;=Y$4),1,""))</f>
        <v/>
      </c>
      <c r="Z58" s="30" t="str">
        <f aca="false">IF(OR($D58="",$E58=""),"",IF(AND($D58&lt;=Z$4+4,$E58&gt;=Z$4),1,""))</f>
        <v/>
      </c>
      <c r="AA58" s="30" t="str">
        <f aca="false">IF(OR($D58="",$E58=""),"",IF(AND($D58&lt;=AA$4+4,$E58&gt;=AA$4),1,""))</f>
        <v/>
      </c>
      <c r="AB58" s="30" t="str">
        <f aca="false">IF(OR($D58="",$E58=""),"",IF(AND($D58&lt;=AB$4+4,$E58&gt;=AB$4),1,""))</f>
        <v/>
      </c>
      <c r="AC58" s="30" t="str">
        <f aca="false">IF(OR($D58="",$E58=""),"",IF(AND($D58&lt;=AC$4+4,$E58&gt;=AC$4),1,""))</f>
        <v/>
      </c>
      <c r="AD58" s="30" t="str">
        <f aca="false">IF(OR($D58="",$E58=""),"",IF(AND($D58&lt;=AD$4+4,$E58&gt;=AD$4),1,""))</f>
        <v/>
      </c>
      <c r="AE58" s="30" t="str">
        <f aca="false">IF(OR($D58="",$E58=""),"",IF(AND($D58&lt;=AE$4+4,$E58&gt;=AE$4),1,""))</f>
        <v/>
      </c>
    </row>
    <row r="59" customFormat="false" ht="15" hidden="false" customHeight="false" outlineLevel="0" collapsed="false">
      <c r="A59" s="28" t="n">
        <v>53</v>
      </c>
      <c r="B59" s="14" t="str">
        <f aca="false">IFERROR(INDEX(Tablero!$A$5:$A$104,MATCH($A59,Tablero!$J$5:$J$104,0))&amp;"","")</f>
        <v/>
      </c>
      <c r="C59" s="14" t="str">
        <f aca="false">IFERROR(INDEX(Tablero!$B$5:$B$104,MATCH($A59,Tablero!$J$5:$J$104,0))&amp;"","")</f>
        <v/>
      </c>
      <c r="D59" s="29" t="str">
        <f aca="false">IFERROR(INDEX(Tablero!$R$5:$R$104,MATCH($A59,Tablero!$J$5:$J$104,0)),"")</f>
        <v/>
      </c>
      <c r="E59" s="29" t="str">
        <f aca="false">IFERROR(INDEX(Tablero!$S$5:$S$104,MATCH($A59,Tablero!$J$5:$J$104,0)),"")</f>
        <v/>
      </c>
      <c r="F59" s="30" t="str">
        <f aca="false">IF(OR($D59="",$E59=""),"",IF(AND($D59&lt;=F$4+4,$E59&gt;=F$4),1,""))</f>
        <v/>
      </c>
      <c r="G59" s="30" t="str">
        <f aca="false">IF(OR($D59="",$E59=""),"",IF(AND($D59&lt;=G$4+4,$E59&gt;=G$4),1,""))</f>
        <v/>
      </c>
      <c r="H59" s="30" t="str">
        <f aca="false">IF(OR($D59="",$E59=""),"",IF(AND($D59&lt;=H$4+4,$E59&gt;=H$4),1,""))</f>
        <v/>
      </c>
      <c r="I59" s="30" t="str">
        <f aca="false">IF(OR($D59="",$E59=""),"",IF(AND($D59&lt;=I$4+4,$E59&gt;=I$4),1,""))</f>
        <v/>
      </c>
      <c r="J59" s="30" t="str">
        <f aca="false">IF(OR($D59="",$E59=""),"",IF(AND($D59&lt;=J$4+4,$E59&gt;=J$4),1,""))</f>
        <v/>
      </c>
      <c r="K59" s="30" t="str">
        <f aca="false">IF(OR($D59="",$E59=""),"",IF(AND($D59&lt;=K$4+4,$E59&gt;=K$4),1,""))</f>
        <v/>
      </c>
      <c r="L59" s="30" t="str">
        <f aca="false">IF(OR($D59="",$E59=""),"",IF(AND($D59&lt;=L$4+4,$E59&gt;=L$4),1,""))</f>
        <v/>
      </c>
      <c r="M59" s="30" t="str">
        <f aca="false">IF(OR($D59="",$E59=""),"",IF(AND($D59&lt;=M$4+4,$E59&gt;=M$4),1,""))</f>
        <v/>
      </c>
      <c r="N59" s="30" t="str">
        <f aca="false">IF(OR($D59="",$E59=""),"",IF(AND($D59&lt;=N$4+4,$E59&gt;=N$4),1,""))</f>
        <v/>
      </c>
      <c r="O59" s="30" t="str">
        <f aca="false">IF(OR($D59="",$E59=""),"",IF(AND($D59&lt;=O$4+4,$E59&gt;=O$4),1,""))</f>
        <v/>
      </c>
      <c r="P59" s="30" t="str">
        <f aca="false">IF(OR($D59="",$E59=""),"",IF(AND($D59&lt;=P$4+4,$E59&gt;=P$4),1,""))</f>
        <v/>
      </c>
      <c r="Q59" s="30" t="str">
        <f aca="false">IF(OR($D59="",$E59=""),"",IF(AND($D59&lt;=Q$4+4,$E59&gt;=Q$4),1,""))</f>
        <v/>
      </c>
      <c r="R59" s="30" t="str">
        <f aca="false">IF(OR($D59="",$E59=""),"",IF(AND($D59&lt;=R$4+4,$E59&gt;=R$4),1,""))</f>
        <v/>
      </c>
      <c r="S59" s="30" t="str">
        <f aca="false">IF(OR($D59="",$E59=""),"",IF(AND($D59&lt;=S$4+4,$E59&gt;=S$4),1,""))</f>
        <v/>
      </c>
      <c r="T59" s="30" t="str">
        <f aca="false">IF(OR($D59="",$E59=""),"",IF(AND($D59&lt;=T$4+4,$E59&gt;=T$4),1,""))</f>
        <v/>
      </c>
      <c r="U59" s="30" t="str">
        <f aca="false">IF(OR($D59="",$E59=""),"",IF(AND($D59&lt;=U$4+4,$E59&gt;=U$4),1,""))</f>
        <v/>
      </c>
      <c r="V59" s="30" t="str">
        <f aca="false">IF(OR($D59="",$E59=""),"",IF(AND($D59&lt;=V$4+4,$E59&gt;=V$4),1,""))</f>
        <v/>
      </c>
      <c r="W59" s="30" t="str">
        <f aca="false">IF(OR($D59="",$E59=""),"",IF(AND($D59&lt;=W$4+4,$E59&gt;=W$4),1,""))</f>
        <v/>
      </c>
      <c r="X59" s="30" t="str">
        <f aca="false">IF(OR($D59="",$E59=""),"",IF(AND($D59&lt;=X$4+4,$E59&gt;=X$4),1,""))</f>
        <v/>
      </c>
      <c r="Y59" s="30" t="str">
        <f aca="false">IF(OR($D59="",$E59=""),"",IF(AND($D59&lt;=Y$4+4,$E59&gt;=Y$4),1,""))</f>
        <v/>
      </c>
      <c r="Z59" s="30" t="str">
        <f aca="false">IF(OR($D59="",$E59=""),"",IF(AND($D59&lt;=Z$4+4,$E59&gt;=Z$4),1,""))</f>
        <v/>
      </c>
      <c r="AA59" s="30" t="str">
        <f aca="false">IF(OR($D59="",$E59=""),"",IF(AND($D59&lt;=AA$4+4,$E59&gt;=AA$4),1,""))</f>
        <v/>
      </c>
      <c r="AB59" s="30" t="str">
        <f aca="false">IF(OR($D59="",$E59=""),"",IF(AND($D59&lt;=AB$4+4,$E59&gt;=AB$4),1,""))</f>
        <v/>
      </c>
      <c r="AC59" s="30" t="str">
        <f aca="false">IF(OR($D59="",$E59=""),"",IF(AND($D59&lt;=AC$4+4,$E59&gt;=AC$4),1,""))</f>
        <v/>
      </c>
      <c r="AD59" s="30" t="str">
        <f aca="false">IF(OR($D59="",$E59=""),"",IF(AND($D59&lt;=AD$4+4,$E59&gt;=AD$4),1,""))</f>
        <v/>
      </c>
      <c r="AE59" s="30" t="str">
        <f aca="false">IF(OR($D59="",$E59=""),"",IF(AND($D59&lt;=AE$4+4,$E59&gt;=AE$4),1,""))</f>
        <v/>
      </c>
    </row>
    <row r="60" customFormat="false" ht="15" hidden="false" customHeight="false" outlineLevel="0" collapsed="false">
      <c r="A60" s="28" t="n">
        <v>54</v>
      </c>
      <c r="B60" s="14" t="str">
        <f aca="false">IFERROR(INDEX(Tablero!$A$5:$A$104,MATCH($A60,Tablero!$J$5:$J$104,0))&amp;"","")</f>
        <v/>
      </c>
      <c r="C60" s="14" t="str">
        <f aca="false">IFERROR(INDEX(Tablero!$B$5:$B$104,MATCH($A60,Tablero!$J$5:$J$104,0))&amp;"","")</f>
        <v/>
      </c>
      <c r="D60" s="29" t="str">
        <f aca="false">IFERROR(INDEX(Tablero!$R$5:$R$104,MATCH($A60,Tablero!$J$5:$J$104,0)),"")</f>
        <v/>
      </c>
      <c r="E60" s="29" t="str">
        <f aca="false">IFERROR(INDEX(Tablero!$S$5:$S$104,MATCH($A60,Tablero!$J$5:$J$104,0)),"")</f>
        <v/>
      </c>
      <c r="F60" s="30" t="str">
        <f aca="false">IF(OR($D60="",$E60=""),"",IF(AND($D60&lt;=F$4+4,$E60&gt;=F$4),1,""))</f>
        <v/>
      </c>
      <c r="G60" s="30" t="str">
        <f aca="false">IF(OR($D60="",$E60=""),"",IF(AND($D60&lt;=G$4+4,$E60&gt;=G$4),1,""))</f>
        <v/>
      </c>
      <c r="H60" s="30" t="str">
        <f aca="false">IF(OR($D60="",$E60=""),"",IF(AND($D60&lt;=H$4+4,$E60&gt;=H$4),1,""))</f>
        <v/>
      </c>
      <c r="I60" s="30" t="str">
        <f aca="false">IF(OR($D60="",$E60=""),"",IF(AND($D60&lt;=I$4+4,$E60&gt;=I$4),1,""))</f>
        <v/>
      </c>
      <c r="J60" s="30" t="str">
        <f aca="false">IF(OR($D60="",$E60=""),"",IF(AND($D60&lt;=J$4+4,$E60&gt;=J$4),1,""))</f>
        <v/>
      </c>
      <c r="K60" s="30" t="str">
        <f aca="false">IF(OR($D60="",$E60=""),"",IF(AND($D60&lt;=K$4+4,$E60&gt;=K$4),1,""))</f>
        <v/>
      </c>
      <c r="L60" s="30" t="str">
        <f aca="false">IF(OR($D60="",$E60=""),"",IF(AND($D60&lt;=L$4+4,$E60&gt;=L$4),1,""))</f>
        <v/>
      </c>
      <c r="M60" s="30" t="str">
        <f aca="false">IF(OR($D60="",$E60=""),"",IF(AND($D60&lt;=M$4+4,$E60&gt;=M$4),1,""))</f>
        <v/>
      </c>
      <c r="N60" s="30" t="str">
        <f aca="false">IF(OR($D60="",$E60=""),"",IF(AND($D60&lt;=N$4+4,$E60&gt;=N$4),1,""))</f>
        <v/>
      </c>
      <c r="O60" s="30" t="str">
        <f aca="false">IF(OR($D60="",$E60=""),"",IF(AND($D60&lt;=O$4+4,$E60&gt;=O$4),1,""))</f>
        <v/>
      </c>
      <c r="P60" s="30" t="str">
        <f aca="false">IF(OR($D60="",$E60=""),"",IF(AND($D60&lt;=P$4+4,$E60&gt;=P$4),1,""))</f>
        <v/>
      </c>
      <c r="Q60" s="30" t="str">
        <f aca="false">IF(OR($D60="",$E60=""),"",IF(AND($D60&lt;=Q$4+4,$E60&gt;=Q$4),1,""))</f>
        <v/>
      </c>
      <c r="R60" s="30" t="str">
        <f aca="false">IF(OR($D60="",$E60=""),"",IF(AND($D60&lt;=R$4+4,$E60&gt;=R$4),1,""))</f>
        <v/>
      </c>
      <c r="S60" s="30" t="str">
        <f aca="false">IF(OR($D60="",$E60=""),"",IF(AND($D60&lt;=S$4+4,$E60&gt;=S$4),1,""))</f>
        <v/>
      </c>
      <c r="T60" s="30" t="str">
        <f aca="false">IF(OR($D60="",$E60=""),"",IF(AND($D60&lt;=T$4+4,$E60&gt;=T$4),1,""))</f>
        <v/>
      </c>
      <c r="U60" s="30" t="str">
        <f aca="false">IF(OR($D60="",$E60=""),"",IF(AND($D60&lt;=U$4+4,$E60&gt;=U$4),1,""))</f>
        <v/>
      </c>
      <c r="V60" s="30" t="str">
        <f aca="false">IF(OR($D60="",$E60=""),"",IF(AND($D60&lt;=V$4+4,$E60&gt;=V$4),1,""))</f>
        <v/>
      </c>
      <c r="W60" s="30" t="str">
        <f aca="false">IF(OR($D60="",$E60=""),"",IF(AND($D60&lt;=W$4+4,$E60&gt;=W$4),1,""))</f>
        <v/>
      </c>
      <c r="X60" s="30" t="str">
        <f aca="false">IF(OR($D60="",$E60=""),"",IF(AND($D60&lt;=X$4+4,$E60&gt;=X$4),1,""))</f>
        <v/>
      </c>
      <c r="Y60" s="30" t="str">
        <f aca="false">IF(OR($D60="",$E60=""),"",IF(AND($D60&lt;=Y$4+4,$E60&gt;=Y$4),1,""))</f>
        <v/>
      </c>
      <c r="Z60" s="30" t="str">
        <f aca="false">IF(OR($D60="",$E60=""),"",IF(AND($D60&lt;=Z$4+4,$E60&gt;=Z$4),1,""))</f>
        <v/>
      </c>
      <c r="AA60" s="30" t="str">
        <f aca="false">IF(OR($D60="",$E60=""),"",IF(AND($D60&lt;=AA$4+4,$E60&gt;=AA$4),1,""))</f>
        <v/>
      </c>
      <c r="AB60" s="30" t="str">
        <f aca="false">IF(OR($D60="",$E60=""),"",IF(AND($D60&lt;=AB$4+4,$E60&gt;=AB$4),1,""))</f>
        <v/>
      </c>
      <c r="AC60" s="30" t="str">
        <f aca="false">IF(OR($D60="",$E60=""),"",IF(AND($D60&lt;=AC$4+4,$E60&gt;=AC$4),1,""))</f>
        <v/>
      </c>
      <c r="AD60" s="30" t="str">
        <f aca="false">IF(OR($D60="",$E60=""),"",IF(AND($D60&lt;=AD$4+4,$E60&gt;=AD$4),1,""))</f>
        <v/>
      </c>
      <c r="AE60" s="30" t="str">
        <f aca="false">IF(OR($D60="",$E60=""),"",IF(AND($D60&lt;=AE$4+4,$E60&gt;=AE$4),1,""))</f>
        <v/>
      </c>
    </row>
    <row r="61" customFormat="false" ht="15" hidden="false" customHeight="false" outlineLevel="0" collapsed="false">
      <c r="A61" s="28" t="n">
        <v>55</v>
      </c>
      <c r="B61" s="14" t="str">
        <f aca="false">IFERROR(INDEX(Tablero!$A$5:$A$104,MATCH($A61,Tablero!$J$5:$J$104,0))&amp;"","")</f>
        <v/>
      </c>
      <c r="C61" s="14" t="str">
        <f aca="false">IFERROR(INDEX(Tablero!$B$5:$B$104,MATCH($A61,Tablero!$J$5:$J$104,0))&amp;"","")</f>
        <v/>
      </c>
      <c r="D61" s="29" t="str">
        <f aca="false">IFERROR(INDEX(Tablero!$R$5:$R$104,MATCH($A61,Tablero!$J$5:$J$104,0)),"")</f>
        <v/>
      </c>
      <c r="E61" s="29" t="str">
        <f aca="false">IFERROR(INDEX(Tablero!$S$5:$S$104,MATCH($A61,Tablero!$J$5:$J$104,0)),"")</f>
        <v/>
      </c>
      <c r="F61" s="30" t="str">
        <f aca="false">IF(OR($D61="",$E61=""),"",IF(AND($D61&lt;=F$4+4,$E61&gt;=F$4),1,""))</f>
        <v/>
      </c>
      <c r="G61" s="30" t="str">
        <f aca="false">IF(OR($D61="",$E61=""),"",IF(AND($D61&lt;=G$4+4,$E61&gt;=G$4),1,""))</f>
        <v/>
      </c>
      <c r="H61" s="30" t="str">
        <f aca="false">IF(OR($D61="",$E61=""),"",IF(AND($D61&lt;=H$4+4,$E61&gt;=H$4),1,""))</f>
        <v/>
      </c>
      <c r="I61" s="30" t="str">
        <f aca="false">IF(OR($D61="",$E61=""),"",IF(AND($D61&lt;=I$4+4,$E61&gt;=I$4),1,""))</f>
        <v/>
      </c>
      <c r="J61" s="30" t="str">
        <f aca="false">IF(OR($D61="",$E61=""),"",IF(AND($D61&lt;=J$4+4,$E61&gt;=J$4),1,""))</f>
        <v/>
      </c>
      <c r="K61" s="30" t="str">
        <f aca="false">IF(OR($D61="",$E61=""),"",IF(AND($D61&lt;=K$4+4,$E61&gt;=K$4),1,""))</f>
        <v/>
      </c>
      <c r="L61" s="30" t="str">
        <f aca="false">IF(OR($D61="",$E61=""),"",IF(AND($D61&lt;=L$4+4,$E61&gt;=L$4),1,""))</f>
        <v/>
      </c>
      <c r="M61" s="30" t="str">
        <f aca="false">IF(OR($D61="",$E61=""),"",IF(AND($D61&lt;=M$4+4,$E61&gt;=M$4),1,""))</f>
        <v/>
      </c>
      <c r="N61" s="30" t="str">
        <f aca="false">IF(OR($D61="",$E61=""),"",IF(AND($D61&lt;=N$4+4,$E61&gt;=N$4),1,""))</f>
        <v/>
      </c>
      <c r="O61" s="30" t="str">
        <f aca="false">IF(OR($D61="",$E61=""),"",IF(AND($D61&lt;=O$4+4,$E61&gt;=O$4),1,""))</f>
        <v/>
      </c>
      <c r="P61" s="30" t="str">
        <f aca="false">IF(OR($D61="",$E61=""),"",IF(AND($D61&lt;=P$4+4,$E61&gt;=P$4),1,""))</f>
        <v/>
      </c>
      <c r="Q61" s="30" t="str">
        <f aca="false">IF(OR($D61="",$E61=""),"",IF(AND($D61&lt;=Q$4+4,$E61&gt;=Q$4),1,""))</f>
        <v/>
      </c>
      <c r="R61" s="30" t="str">
        <f aca="false">IF(OR($D61="",$E61=""),"",IF(AND($D61&lt;=R$4+4,$E61&gt;=R$4),1,""))</f>
        <v/>
      </c>
      <c r="S61" s="30" t="str">
        <f aca="false">IF(OR($D61="",$E61=""),"",IF(AND($D61&lt;=S$4+4,$E61&gt;=S$4),1,""))</f>
        <v/>
      </c>
      <c r="T61" s="30" t="str">
        <f aca="false">IF(OR($D61="",$E61=""),"",IF(AND($D61&lt;=T$4+4,$E61&gt;=T$4),1,""))</f>
        <v/>
      </c>
      <c r="U61" s="30" t="str">
        <f aca="false">IF(OR($D61="",$E61=""),"",IF(AND($D61&lt;=U$4+4,$E61&gt;=U$4),1,""))</f>
        <v/>
      </c>
      <c r="V61" s="30" t="str">
        <f aca="false">IF(OR($D61="",$E61=""),"",IF(AND($D61&lt;=V$4+4,$E61&gt;=V$4),1,""))</f>
        <v/>
      </c>
      <c r="W61" s="30" t="str">
        <f aca="false">IF(OR($D61="",$E61=""),"",IF(AND($D61&lt;=W$4+4,$E61&gt;=W$4),1,""))</f>
        <v/>
      </c>
      <c r="X61" s="30" t="str">
        <f aca="false">IF(OR($D61="",$E61=""),"",IF(AND($D61&lt;=X$4+4,$E61&gt;=X$4),1,""))</f>
        <v/>
      </c>
      <c r="Y61" s="30" t="str">
        <f aca="false">IF(OR($D61="",$E61=""),"",IF(AND($D61&lt;=Y$4+4,$E61&gt;=Y$4),1,""))</f>
        <v/>
      </c>
      <c r="Z61" s="30" t="str">
        <f aca="false">IF(OR($D61="",$E61=""),"",IF(AND($D61&lt;=Z$4+4,$E61&gt;=Z$4),1,""))</f>
        <v/>
      </c>
      <c r="AA61" s="30" t="str">
        <f aca="false">IF(OR($D61="",$E61=""),"",IF(AND($D61&lt;=AA$4+4,$E61&gt;=AA$4),1,""))</f>
        <v/>
      </c>
      <c r="AB61" s="30" t="str">
        <f aca="false">IF(OR($D61="",$E61=""),"",IF(AND($D61&lt;=AB$4+4,$E61&gt;=AB$4),1,""))</f>
        <v/>
      </c>
      <c r="AC61" s="30" t="str">
        <f aca="false">IF(OR($D61="",$E61=""),"",IF(AND($D61&lt;=AC$4+4,$E61&gt;=AC$4),1,""))</f>
        <v/>
      </c>
      <c r="AD61" s="30" t="str">
        <f aca="false">IF(OR($D61="",$E61=""),"",IF(AND($D61&lt;=AD$4+4,$E61&gt;=AD$4),1,""))</f>
        <v/>
      </c>
      <c r="AE61" s="30" t="str">
        <f aca="false">IF(OR($D61="",$E61=""),"",IF(AND($D61&lt;=AE$4+4,$E61&gt;=AE$4),1,""))</f>
        <v/>
      </c>
    </row>
    <row r="62" customFormat="false" ht="15" hidden="false" customHeight="false" outlineLevel="0" collapsed="false">
      <c r="A62" s="28" t="n">
        <v>56</v>
      </c>
      <c r="B62" s="14" t="str">
        <f aca="false">IFERROR(INDEX(Tablero!$A$5:$A$104,MATCH($A62,Tablero!$J$5:$J$104,0))&amp;"","")</f>
        <v/>
      </c>
      <c r="C62" s="14" t="str">
        <f aca="false">IFERROR(INDEX(Tablero!$B$5:$B$104,MATCH($A62,Tablero!$J$5:$J$104,0))&amp;"","")</f>
        <v/>
      </c>
      <c r="D62" s="29" t="str">
        <f aca="false">IFERROR(INDEX(Tablero!$R$5:$R$104,MATCH($A62,Tablero!$J$5:$J$104,0)),"")</f>
        <v/>
      </c>
      <c r="E62" s="29" t="str">
        <f aca="false">IFERROR(INDEX(Tablero!$S$5:$S$104,MATCH($A62,Tablero!$J$5:$J$104,0)),"")</f>
        <v/>
      </c>
      <c r="F62" s="30" t="str">
        <f aca="false">IF(OR($D62="",$E62=""),"",IF(AND($D62&lt;=F$4+4,$E62&gt;=F$4),1,""))</f>
        <v/>
      </c>
      <c r="G62" s="30" t="str">
        <f aca="false">IF(OR($D62="",$E62=""),"",IF(AND($D62&lt;=G$4+4,$E62&gt;=G$4),1,""))</f>
        <v/>
      </c>
      <c r="H62" s="30" t="str">
        <f aca="false">IF(OR($D62="",$E62=""),"",IF(AND($D62&lt;=H$4+4,$E62&gt;=H$4),1,""))</f>
        <v/>
      </c>
      <c r="I62" s="30" t="str">
        <f aca="false">IF(OR($D62="",$E62=""),"",IF(AND($D62&lt;=I$4+4,$E62&gt;=I$4),1,""))</f>
        <v/>
      </c>
      <c r="J62" s="30" t="str">
        <f aca="false">IF(OR($D62="",$E62=""),"",IF(AND($D62&lt;=J$4+4,$E62&gt;=J$4),1,""))</f>
        <v/>
      </c>
      <c r="K62" s="30" t="str">
        <f aca="false">IF(OR($D62="",$E62=""),"",IF(AND($D62&lt;=K$4+4,$E62&gt;=K$4),1,""))</f>
        <v/>
      </c>
      <c r="L62" s="30" t="str">
        <f aca="false">IF(OR($D62="",$E62=""),"",IF(AND($D62&lt;=L$4+4,$E62&gt;=L$4),1,""))</f>
        <v/>
      </c>
      <c r="M62" s="30" t="str">
        <f aca="false">IF(OR($D62="",$E62=""),"",IF(AND($D62&lt;=M$4+4,$E62&gt;=M$4),1,""))</f>
        <v/>
      </c>
      <c r="N62" s="30" t="str">
        <f aca="false">IF(OR($D62="",$E62=""),"",IF(AND($D62&lt;=N$4+4,$E62&gt;=N$4),1,""))</f>
        <v/>
      </c>
      <c r="O62" s="30" t="str">
        <f aca="false">IF(OR($D62="",$E62=""),"",IF(AND($D62&lt;=O$4+4,$E62&gt;=O$4),1,""))</f>
        <v/>
      </c>
      <c r="P62" s="30" t="str">
        <f aca="false">IF(OR($D62="",$E62=""),"",IF(AND($D62&lt;=P$4+4,$E62&gt;=P$4),1,""))</f>
        <v/>
      </c>
      <c r="Q62" s="30" t="str">
        <f aca="false">IF(OR($D62="",$E62=""),"",IF(AND($D62&lt;=Q$4+4,$E62&gt;=Q$4),1,""))</f>
        <v/>
      </c>
      <c r="R62" s="30" t="str">
        <f aca="false">IF(OR($D62="",$E62=""),"",IF(AND($D62&lt;=R$4+4,$E62&gt;=R$4),1,""))</f>
        <v/>
      </c>
      <c r="S62" s="30" t="str">
        <f aca="false">IF(OR($D62="",$E62=""),"",IF(AND($D62&lt;=S$4+4,$E62&gt;=S$4),1,""))</f>
        <v/>
      </c>
      <c r="T62" s="30" t="str">
        <f aca="false">IF(OR($D62="",$E62=""),"",IF(AND($D62&lt;=T$4+4,$E62&gt;=T$4),1,""))</f>
        <v/>
      </c>
      <c r="U62" s="30" t="str">
        <f aca="false">IF(OR($D62="",$E62=""),"",IF(AND($D62&lt;=U$4+4,$E62&gt;=U$4),1,""))</f>
        <v/>
      </c>
      <c r="V62" s="30" t="str">
        <f aca="false">IF(OR($D62="",$E62=""),"",IF(AND($D62&lt;=V$4+4,$E62&gt;=V$4),1,""))</f>
        <v/>
      </c>
      <c r="W62" s="30" t="str">
        <f aca="false">IF(OR($D62="",$E62=""),"",IF(AND($D62&lt;=W$4+4,$E62&gt;=W$4),1,""))</f>
        <v/>
      </c>
      <c r="X62" s="30" t="str">
        <f aca="false">IF(OR($D62="",$E62=""),"",IF(AND($D62&lt;=X$4+4,$E62&gt;=X$4),1,""))</f>
        <v/>
      </c>
      <c r="Y62" s="30" t="str">
        <f aca="false">IF(OR($D62="",$E62=""),"",IF(AND($D62&lt;=Y$4+4,$E62&gt;=Y$4),1,""))</f>
        <v/>
      </c>
      <c r="Z62" s="30" t="str">
        <f aca="false">IF(OR($D62="",$E62=""),"",IF(AND($D62&lt;=Z$4+4,$E62&gt;=Z$4),1,""))</f>
        <v/>
      </c>
      <c r="AA62" s="30" t="str">
        <f aca="false">IF(OR($D62="",$E62=""),"",IF(AND($D62&lt;=AA$4+4,$E62&gt;=AA$4),1,""))</f>
        <v/>
      </c>
      <c r="AB62" s="30" t="str">
        <f aca="false">IF(OR($D62="",$E62=""),"",IF(AND($D62&lt;=AB$4+4,$E62&gt;=AB$4),1,""))</f>
        <v/>
      </c>
      <c r="AC62" s="30" t="str">
        <f aca="false">IF(OR($D62="",$E62=""),"",IF(AND($D62&lt;=AC$4+4,$E62&gt;=AC$4),1,""))</f>
        <v/>
      </c>
      <c r="AD62" s="30" t="str">
        <f aca="false">IF(OR($D62="",$E62=""),"",IF(AND($D62&lt;=AD$4+4,$E62&gt;=AD$4),1,""))</f>
        <v/>
      </c>
      <c r="AE62" s="30" t="str">
        <f aca="false">IF(OR($D62="",$E62=""),"",IF(AND($D62&lt;=AE$4+4,$E62&gt;=AE$4),1,""))</f>
        <v/>
      </c>
    </row>
    <row r="63" customFormat="false" ht="15" hidden="false" customHeight="false" outlineLevel="0" collapsed="false">
      <c r="A63" s="28" t="n">
        <v>57</v>
      </c>
      <c r="B63" s="14" t="str">
        <f aca="false">IFERROR(INDEX(Tablero!$A$5:$A$104,MATCH($A63,Tablero!$J$5:$J$104,0))&amp;"","")</f>
        <v/>
      </c>
      <c r="C63" s="14" t="str">
        <f aca="false">IFERROR(INDEX(Tablero!$B$5:$B$104,MATCH($A63,Tablero!$J$5:$J$104,0))&amp;"","")</f>
        <v/>
      </c>
      <c r="D63" s="29" t="str">
        <f aca="false">IFERROR(INDEX(Tablero!$R$5:$R$104,MATCH($A63,Tablero!$J$5:$J$104,0)),"")</f>
        <v/>
      </c>
      <c r="E63" s="29" t="str">
        <f aca="false">IFERROR(INDEX(Tablero!$S$5:$S$104,MATCH($A63,Tablero!$J$5:$J$104,0)),"")</f>
        <v/>
      </c>
      <c r="F63" s="30" t="str">
        <f aca="false">IF(OR($D63="",$E63=""),"",IF(AND($D63&lt;=F$4+4,$E63&gt;=F$4),1,""))</f>
        <v/>
      </c>
      <c r="G63" s="30" t="str">
        <f aca="false">IF(OR($D63="",$E63=""),"",IF(AND($D63&lt;=G$4+4,$E63&gt;=G$4),1,""))</f>
        <v/>
      </c>
      <c r="H63" s="30" t="str">
        <f aca="false">IF(OR($D63="",$E63=""),"",IF(AND($D63&lt;=H$4+4,$E63&gt;=H$4),1,""))</f>
        <v/>
      </c>
      <c r="I63" s="30" t="str">
        <f aca="false">IF(OR($D63="",$E63=""),"",IF(AND($D63&lt;=I$4+4,$E63&gt;=I$4),1,""))</f>
        <v/>
      </c>
      <c r="J63" s="30" t="str">
        <f aca="false">IF(OR($D63="",$E63=""),"",IF(AND($D63&lt;=J$4+4,$E63&gt;=J$4),1,""))</f>
        <v/>
      </c>
      <c r="K63" s="30" t="str">
        <f aca="false">IF(OR($D63="",$E63=""),"",IF(AND($D63&lt;=K$4+4,$E63&gt;=K$4),1,""))</f>
        <v/>
      </c>
      <c r="L63" s="30" t="str">
        <f aca="false">IF(OR($D63="",$E63=""),"",IF(AND($D63&lt;=L$4+4,$E63&gt;=L$4),1,""))</f>
        <v/>
      </c>
      <c r="M63" s="30" t="str">
        <f aca="false">IF(OR($D63="",$E63=""),"",IF(AND($D63&lt;=M$4+4,$E63&gt;=M$4),1,""))</f>
        <v/>
      </c>
      <c r="N63" s="30" t="str">
        <f aca="false">IF(OR($D63="",$E63=""),"",IF(AND($D63&lt;=N$4+4,$E63&gt;=N$4),1,""))</f>
        <v/>
      </c>
      <c r="O63" s="30" t="str">
        <f aca="false">IF(OR($D63="",$E63=""),"",IF(AND($D63&lt;=O$4+4,$E63&gt;=O$4),1,""))</f>
        <v/>
      </c>
      <c r="P63" s="30" t="str">
        <f aca="false">IF(OR($D63="",$E63=""),"",IF(AND($D63&lt;=P$4+4,$E63&gt;=P$4),1,""))</f>
        <v/>
      </c>
      <c r="Q63" s="30" t="str">
        <f aca="false">IF(OR($D63="",$E63=""),"",IF(AND($D63&lt;=Q$4+4,$E63&gt;=Q$4),1,""))</f>
        <v/>
      </c>
      <c r="R63" s="30" t="str">
        <f aca="false">IF(OR($D63="",$E63=""),"",IF(AND($D63&lt;=R$4+4,$E63&gt;=R$4),1,""))</f>
        <v/>
      </c>
      <c r="S63" s="30" t="str">
        <f aca="false">IF(OR($D63="",$E63=""),"",IF(AND($D63&lt;=S$4+4,$E63&gt;=S$4),1,""))</f>
        <v/>
      </c>
      <c r="T63" s="30" t="str">
        <f aca="false">IF(OR($D63="",$E63=""),"",IF(AND($D63&lt;=T$4+4,$E63&gt;=T$4),1,""))</f>
        <v/>
      </c>
      <c r="U63" s="30" t="str">
        <f aca="false">IF(OR($D63="",$E63=""),"",IF(AND($D63&lt;=U$4+4,$E63&gt;=U$4),1,""))</f>
        <v/>
      </c>
      <c r="V63" s="30" t="str">
        <f aca="false">IF(OR($D63="",$E63=""),"",IF(AND($D63&lt;=V$4+4,$E63&gt;=V$4),1,""))</f>
        <v/>
      </c>
      <c r="W63" s="30" t="str">
        <f aca="false">IF(OR($D63="",$E63=""),"",IF(AND($D63&lt;=W$4+4,$E63&gt;=W$4),1,""))</f>
        <v/>
      </c>
      <c r="X63" s="30" t="str">
        <f aca="false">IF(OR($D63="",$E63=""),"",IF(AND($D63&lt;=X$4+4,$E63&gt;=X$4),1,""))</f>
        <v/>
      </c>
      <c r="Y63" s="30" t="str">
        <f aca="false">IF(OR($D63="",$E63=""),"",IF(AND($D63&lt;=Y$4+4,$E63&gt;=Y$4),1,""))</f>
        <v/>
      </c>
      <c r="Z63" s="30" t="str">
        <f aca="false">IF(OR($D63="",$E63=""),"",IF(AND($D63&lt;=Z$4+4,$E63&gt;=Z$4),1,""))</f>
        <v/>
      </c>
      <c r="AA63" s="30" t="str">
        <f aca="false">IF(OR($D63="",$E63=""),"",IF(AND($D63&lt;=AA$4+4,$E63&gt;=AA$4),1,""))</f>
        <v/>
      </c>
      <c r="AB63" s="30" t="str">
        <f aca="false">IF(OR($D63="",$E63=""),"",IF(AND($D63&lt;=AB$4+4,$E63&gt;=AB$4),1,""))</f>
        <v/>
      </c>
      <c r="AC63" s="30" t="str">
        <f aca="false">IF(OR($D63="",$E63=""),"",IF(AND($D63&lt;=AC$4+4,$E63&gt;=AC$4),1,""))</f>
        <v/>
      </c>
      <c r="AD63" s="30" t="str">
        <f aca="false">IF(OR($D63="",$E63=""),"",IF(AND($D63&lt;=AD$4+4,$E63&gt;=AD$4),1,""))</f>
        <v/>
      </c>
      <c r="AE63" s="30" t="str">
        <f aca="false">IF(OR($D63="",$E63=""),"",IF(AND($D63&lt;=AE$4+4,$E63&gt;=AE$4),1,""))</f>
        <v/>
      </c>
    </row>
    <row r="64" customFormat="false" ht="15" hidden="false" customHeight="false" outlineLevel="0" collapsed="false">
      <c r="A64" s="28" t="n">
        <v>58</v>
      </c>
      <c r="B64" s="14" t="str">
        <f aca="false">IFERROR(INDEX(Tablero!$A$5:$A$104,MATCH($A64,Tablero!$J$5:$J$104,0))&amp;"","")</f>
        <v/>
      </c>
      <c r="C64" s="14" t="str">
        <f aca="false">IFERROR(INDEX(Tablero!$B$5:$B$104,MATCH($A64,Tablero!$J$5:$J$104,0))&amp;"","")</f>
        <v/>
      </c>
      <c r="D64" s="29" t="str">
        <f aca="false">IFERROR(INDEX(Tablero!$R$5:$R$104,MATCH($A64,Tablero!$J$5:$J$104,0)),"")</f>
        <v/>
      </c>
      <c r="E64" s="29" t="str">
        <f aca="false">IFERROR(INDEX(Tablero!$S$5:$S$104,MATCH($A64,Tablero!$J$5:$J$104,0)),"")</f>
        <v/>
      </c>
      <c r="F64" s="30" t="str">
        <f aca="false">IF(OR($D64="",$E64=""),"",IF(AND($D64&lt;=F$4+4,$E64&gt;=F$4),1,""))</f>
        <v/>
      </c>
      <c r="G64" s="30" t="str">
        <f aca="false">IF(OR($D64="",$E64=""),"",IF(AND($D64&lt;=G$4+4,$E64&gt;=G$4),1,""))</f>
        <v/>
      </c>
      <c r="H64" s="30" t="str">
        <f aca="false">IF(OR($D64="",$E64=""),"",IF(AND($D64&lt;=H$4+4,$E64&gt;=H$4),1,""))</f>
        <v/>
      </c>
      <c r="I64" s="30" t="str">
        <f aca="false">IF(OR($D64="",$E64=""),"",IF(AND($D64&lt;=I$4+4,$E64&gt;=I$4),1,""))</f>
        <v/>
      </c>
      <c r="J64" s="30" t="str">
        <f aca="false">IF(OR($D64="",$E64=""),"",IF(AND($D64&lt;=J$4+4,$E64&gt;=J$4),1,""))</f>
        <v/>
      </c>
      <c r="K64" s="30" t="str">
        <f aca="false">IF(OR($D64="",$E64=""),"",IF(AND($D64&lt;=K$4+4,$E64&gt;=K$4),1,""))</f>
        <v/>
      </c>
      <c r="L64" s="30" t="str">
        <f aca="false">IF(OR($D64="",$E64=""),"",IF(AND($D64&lt;=L$4+4,$E64&gt;=L$4),1,""))</f>
        <v/>
      </c>
      <c r="M64" s="30" t="str">
        <f aca="false">IF(OR($D64="",$E64=""),"",IF(AND($D64&lt;=M$4+4,$E64&gt;=M$4),1,""))</f>
        <v/>
      </c>
      <c r="N64" s="30" t="str">
        <f aca="false">IF(OR($D64="",$E64=""),"",IF(AND($D64&lt;=N$4+4,$E64&gt;=N$4),1,""))</f>
        <v/>
      </c>
      <c r="O64" s="30" t="str">
        <f aca="false">IF(OR($D64="",$E64=""),"",IF(AND($D64&lt;=O$4+4,$E64&gt;=O$4),1,""))</f>
        <v/>
      </c>
      <c r="P64" s="30" t="str">
        <f aca="false">IF(OR($D64="",$E64=""),"",IF(AND($D64&lt;=P$4+4,$E64&gt;=P$4),1,""))</f>
        <v/>
      </c>
      <c r="Q64" s="30" t="str">
        <f aca="false">IF(OR($D64="",$E64=""),"",IF(AND($D64&lt;=Q$4+4,$E64&gt;=Q$4),1,""))</f>
        <v/>
      </c>
      <c r="R64" s="30" t="str">
        <f aca="false">IF(OR($D64="",$E64=""),"",IF(AND($D64&lt;=R$4+4,$E64&gt;=R$4),1,""))</f>
        <v/>
      </c>
      <c r="S64" s="30" t="str">
        <f aca="false">IF(OR($D64="",$E64=""),"",IF(AND($D64&lt;=S$4+4,$E64&gt;=S$4),1,""))</f>
        <v/>
      </c>
      <c r="T64" s="30" t="str">
        <f aca="false">IF(OR($D64="",$E64=""),"",IF(AND($D64&lt;=T$4+4,$E64&gt;=T$4),1,""))</f>
        <v/>
      </c>
      <c r="U64" s="30" t="str">
        <f aca="false">IF(OR($D64="",$E64=""),"",IF(AND($D64&lt;=U$4+4,$E64&gt;=U$4),1,""))</f>
        <v/>
      </c>
      <c r="V64" s="30" t="str">
        <f aca="false">IF(OR($D64="",$E64=""),"",IF(AND($D64&lt;=V$4+4,$E64&gt;=V$4),1,""))</f>
        <v/>
      </c>
      <c r="W64" s="30" t="str">
        <f aca="false">IF(OR($D64="",$E64=""),"",IF(AND($D64&lt;=W$4+4,$E64&gt;=W$4),1,""))</f>
        <v/>
      </c>
      <c r="X64" s="30" t="str">
        <f aca="false">IF(OR($D64="",$E64=""),"",IF(AND($D64&lt;=X$4+4,$E64&gt;=X$4),1,""))</f>
        <v/>
      </c>
      <c r="Y64" s="30" t="str">
        <f aca="false">IF(OR($D64="",$E64=""),"",IF(AND($D64&lt;=Y$4+4,$E64&gt;=Y$4),1,""))</f>
        <v/>
      </c>
      <c r="Z64" s="30" t="str">
        <f aca="false">IF(OR($D64="",$E64=""),"",IF(AND($D64&lt;=Z$4+4,$E64&gt;=Z$4),1,""))</f>
        <v/>
      </c>
      <c r="AA64" s="30" t="str">
        <f aca="false">IF(OR($D64="",$E64=""),"",IF(AND($D64&lt;=AA$4+4,$E64&gt;=AA$4),1,""))</f>
        <v/>
      </c>
      <c r="AB64" s="30" t="str">
        <f aca="false">IF(OR($D64="",$E64=""),"",IF(AND($D64&lt;=AB$4+4,$E64&gt;=AB$4),1,""))</f>
        <v/>
      </c>
      <c r="AC64" s="30" t="str">
        <f aca="false">IF(OR($D64="",$E64=""),"",IF(AND($D64&lt;=AC$4+4,$E64&gt;=AC$4),1,""))</f>
        <v/>
      </c>
      <c r="AD64" s="30" t="str">
        <f aca="false">IF(OR($D64="",$E64=""),"",IF(AND($D64&lt;=AD$4+4,$E64&gt;=AD$4),1,""))</f>
        <v/>
      </c>
      <c r="AE64" s="30" t="str">
        <f aca="false">IF(OR($D64="",$E64=""),"",IF(AND($D64&lt;=AE$4+4,$E64&gt;=AE$4),1,""))</f>
        <v/>
      </c>
    </row>
    <row r="65" customFormat="false" ht="15" hidden="false" customHeight="false" outlineLevel="0" collapsed="false">
      <c r="A65" s="28" t="n">
        <v>59</v>
      </c>
      <c r="B65" s="14" t="str">
        <f aca="false">IFERROR(INDEX(Tablero!$A$5:$A$104,MATCH($A65,Tablero!$J$5:$J$104,0))&amp;"","")</f>
        <v/>
      </c>
      <c r="C65" s="14" t="str">
        <f aca="false">IFERROR(INDEX(Tablero!$B$5:$B$104,MATCH($A65,Tablero!$J$5:$J$104,0))&amp;"","")</f>
        <v/>
      </c>
      <c r="D65" s="29" t="str">
        <f aca="false">IFERROR(INDEX(Tablero!$R$5:$R$104,MATCH($A65,Tablero!$J$5:$J$104,0)),"")</f>
        <v/>
      </c>
      <c r="E65" s="29" t="str">
        <f aca="false">IFERROR(INDEX(Tablero!$S$5:$S$104,MATCH($A65,Tablero!$J$5:$J$104,0)),"")</f>
        <v/>
      </c>
      <c r="F65" s="30" t="str">
        <f aca="false">IF(OR($D65="",$E65=""),"",IF(AND($D65&lt;=F$4+4,$E65&gt;=F$4),1,""))</f>
        <v/>
      </c>
      <c r="G65" s="30" t="str">
        <f aca="false">IF(OR($D65="",$E65=""),"",IF(AND($D65&lt;=G$4+4,$E65&gt;=G$4),1,""))</f>
        <v/>
      </c>
      <c r="H65" s="30" t="str">
        <f aca="false">IF(OR($D65="",$E65=""),"",IF(AND($D65&lt;=H$4+4,$E65&gt;=H$4),1,""))</f>
        <v/>
      </c>
      <c r="I65" s="30" t="str">
        <f aca="false">IF(OR($D65="",$E65=""),"",IF(AND($D65&lt;=I$4+4,$E65&gt;=I$4),1,""))</f>
        <v/>
      </c>
      <c r="J65" s="30" t="str">
        <f aca="false">IF(OR($D65="",$E65=""),"",IF(AND($D65&lt;=J$4+4,$E65&gt;=J$4),1,""))</f>
        <v/>
      </c>
      <c r="K65" s="30" t="str">
        <f aca="false">IF(OR($D65="",$E65=""),"",IF(AND($D65&lt;=K$4+4,$E65&gt;=K$4),1,""))</f>
        <v/>
      </c>
      <c r="L65" s="30" t="str">
        <f aca="false">IF(OR($D65="",$E65=""),"",IF(AND($D65&lt;=L$4+4,$E65&gt;=L$4),1,""))</f>
        <v/>
      </c>
      <c r="M65" s="30" t="str">
        <f aca="false">IF(OR($D65="",$E65=""),"",IF(AND($D65&lt;=M$4+4,$E65&gt;=M$4),1,""))</f>
        <v/>
      </c>
      <c r="N65" s="30" t="str">
        <f aca="false">IF(OR($D65="",$E65=""),"",IF(AND($D65&lt;=N$4+4,$E65&gt;=N$4),1,""))</f>
        <v/>
      </c>
      <c r="O65" s="30" t="str">
        <f aca="false">IF(OR($D65="",$E65=""),"",IF(AND($D65&lt;=O$4+4,$E65&gt;=O$4),1,""))</f>
        <v/>
      </c>
      <c r="P65" s="30" t="str">
        <f aca="false">IF(OR($D65="",$E65=""),"",IF(AND($D65&lt;=P$4+4,$E65&gt;=P$4),1,""))</f>
        <v/>
      </c>
      <c r="Q65" s="30" t="str">
        <f aca="false">IF(OR($D65="",$E65=""),"",IF(AND($D65&lt;=Q$4+4,$E65&gt;=Q$4),1,""))</f>
        <v/>
      </c>
      <c r="R65" s="30" t="str">
        <f aca="false">IF(OR($D65="",$E65=""),"",IF(AND($D65&lt;=R$4+4,$E65&gt;=R$4),1,""))</f>
        <v/>
      </c>
      <c r="S65" s="30" t="str">
        <f aca="false">IF(OR($D65="",$E65=""),"",IF(AND($D65&lt;=S$4+4,$E65&gt;=S$4),1,""))</f>
        <v/>
      </c>
      <c r="T65" s="30" t="str">
        <f aca="false">IF(OR($D65="",$E65=""),"",IF(AND($D65&lt;=T$4+4,$E65&gt;=T$4),1,""))</f>
        <v/>
      </c>
      <c r="U65" s="30" t="str">
        <f aca="false">IF(OR($D65="",$E65=""),"",IF(AND($D65&lt;=U$4+4,$E65&gt;=U$4),1,""))</f>
        <v/>
      </c>
      <c r="V65" s="30" t="str">
        <f aca="false">IF(OR($D65="",$E65=""),"",IF(AND($D65&lt;=V$4+4,$E65&gt;=V$4),1,""))</f>
        <v/>
      </c>
      <c r="W65" s="30" t="str">
        <f aca="false">IF(OR($D65="",$E65=""),"",IF(AND($D65&lt;=W$4+4,$E65&gt;=W$4),1,""))</f>
        <v/>
      </c>
      <c r="X65" s="30" t="str">
        <f aca="false">IF(OR($D65="",$E65=""),"",IF(AND($D65&lt;=X$4+4,$E65&gt;=X$4),1,""))</f>
        <v/>
      </c>
      <c r="Y65" s="30" t="str">
        <f aca="false">IF(OR($D65="",$E65=""),"",IF(AND($D65&lt;=Y$4+4,$E65&gt;=Y$4),1,""))</f>
        <v/>
      </c>
      <c r="Z65" s="30" t="str">
        <f aca="false">IF(OR($D65="",$E65=""),"",IF(AND($D65&lt;=Z$4+4,$E65&gt;=Z$4),1,""))</f>
        <v/>
      </c>
      <c r="AA65" s="30" t="str">
        <f aca="false">IF(OR($D65="",$E65=""),"",IF(AND($D65&lt;=AA$4+4,$E65&gt;=AA$4),1,""))</f>
        <v/>
      </c>
      <c r="AB65" s="30" t="str">
        <f aca="false">IF(OR($D65="",$E65=""),"",IF(AND($D65&lt;=AB$4+4,$E65&gt;=AB$4),1,""))</f>
        <v/>
      </c>
      <c r="AC65" s="30" t="str">
        <f aca="false">IF(OR($D65="",$E65=""),"",IF(AND($D65&lt;=AC$4+4,$E65&gt;=AC$4),1,""))</f>
        <v/>
      </c>
      <c r="AD65" s="30" t="str">
        <f aca="false">IF(OR($D65="",$E65=""),"",IF(AND($D65&lt;=AD$4+4,$E65&gt;=AD$4),1,""))</f>
        <v/>
      </c>
      <c r="AE65" s="30" t="str">
        <f aca="false">IF(OR($D65="",$E65=""),"",IF(AND($D65&lt;=AE$4+4,$E65&gt;=AE$4),1,""))</f>
        <v/>
      </c>
    </row>
    <row r="66" customFormat="false" ht="15" hidden="false" customHeight="false" outlineLevel="0" collapsed="false">
      <c r="A66" s="28" t="n">
        <v>60</v>
      </c>
      <c r="B66" s="14" t="str">
        <f aca="false">IFERROR(INDEX(Tablero!$A$5:$A$104,MATCH($A66,Tablero!$J$5:$J$104,0))&amp;"","")</f>
        <v/>
      </c>
      <c r="C66" s="14" t="str">
        <f aca="false">IFERROR(INDEX(Tablero!$B$5:$B$104,MATCH($A66,Tablero!$J$5:$J$104,0))&amp;"","")</f>
        <v/>
      </c>
      <c r="D66" s="29" t="str">
        <f aca="false">IFERROR(INDEX(Tablero!$R$5:$R$104,MATCH($A66,Tablero!$J$5:$J$104,0)),"")</f>
        <v/>
      </c>
      <c r="E66" s="29" t="str">
        <f aca="false">IFERROR(INDEX(Tablero!$S$5:$S$104,MATCH($A66,Tablero!$J$5:$J$104,0)),"")</f>
        <v/>
      </c>
      <c r="F66" s="30" t="str">
        <f aca="false">IF(OR($D66="",$E66=""),"",IF(AND($D66&lt;=F$4+4,$E66&gt;=F$4),1,""))</f>
        <v/>
      </c>
      <c r="G66" s="30" t="str">
        <f aca="false">IF(OR($D66="",$E66=""),"",IF(AND($D66&lt;=G$4+4,$E66&gt;=G$4),1,""))</f>
        <v/>
      </c>
      <c r="H66" s="30" t="str">
        <f aca="false">IF(OR($D66="",$E66=""),"",IF(AND($D66&lt;=H$4+4,$E66&gt;=H$4),1,""))</f>
        <v/>
      </c>
      <c r="I66" s="30" t="str">
        <f aca="false">IF(OR($D66="",$E66=""),"",IF(AND($D66&lt;=I$4+4,$E66&gt;=I$4),1,""))</f>
        <v/>
      </c>
      <c r="J66" s="30" t="str">
        <f aca="false">IF(OR($D66="",$E66=""),"",IF(AND($D66&lt;=J$4+4,$E66&gt;=J$4),1,""))</f>
        <v/>
      </c>
      <c r="K66" s="30" t="str">
        <f aca="false">IF(OR($D66="",$E66=""),"",IF(AND($D66&lt;=K$4+4,$E66&gt;=K$4),1,""))</f>
        <v/>
      </c>
      <c r="L66" s="30" t="str">
        <f aca="false">IF(OR($D66="",$E66=""),"",IF(AND($D66&lt;=L$4+4,$E66&gt;=L$4),1,""))</f>
        <v/>
      </c>
      <c r="M66" s="30" t="str">
        <f aca="false">IF(OR($D66="",$E66=""),"",IF(AND($D66&lt;=M$4+4,$E66&gt;=M$4),1,""))</f>
        <v/>
      </c>
      <c r="N66" s="30" t="str">
        <f aca="false">IF(OR($D66="",$E66=""),"",IF(AND($D66&lt;=N$4+4,$E66&gt;=N$4),1,""))</f>
        <v/>
      </c>
      <c r="O66" s="30" t="str">
        <f aca="false">IF(OR($D66="",$E66=""),"",IF(AND($D66&lt;=O$4+4,$E66&gt;=O$4),1,""))</f>
        <v/>
      </c>
      <c r="P66" s="30" t="str">
        <f aca="false">IF(OR($D66="",$E66=""),"",IF(AND($D66&lt;=P$4+4,$E66&gt;=P$4),1,""))</f>
        <v/>
      </c>
      <c r="Q66" s="30" t="str">
        <f aca="false">IF(OR($D66="",$E66=""),"",IF(AND($D66&lt;=Q$4+4,$E66&gt;=Q$4),1,""))</f>
        <v/>
      </c>
      <c r="R66" s="30" t="str">
        <f aca="false">IF(OR($D66="",$E66=""),"",IF(AND($D66&lt;=R$4+4,$E66&gt;=R$4),1,""))</f>
        <v/>
      </c>
      <c r="S66" s="30" t="str">
        <f aca="false">IF(OR($D66="",$E66=""),"",IF(AND($D66&lt;=S$4+4,$E66&gt;=S$4),1,""))</f>
        <v/>
      </c>
      <c r="T66" s="30" t="str">
        <f aca="false">IF(OR($D66="",$E66=""),"",IF(AND($D66&lt;=T$4+4,$E66&gt;=T$4),1,""))</f>
        <v/>
      </c>
      <c r="U66" s="30" t="str">
        <f aca="false">IF(OR($D66="",$E66=""),"",IF(AND($D66&lt;=U$4+4,$E66&gt;=U$4),1,""))</f>
        <v/>
      </c>
      <c r="V66" s="30" t="str">
        <f aca="false">IF(OR($D66="",$E66=""),"",IF(AND($D66&lt;=V$4+4,$E66&gt;=V$4),1,""))</f>
        <v/>
      </c>
      <c r="W66" s="30" t="str">
        <f aca="false">IF(OR($D66="",$E66=""),"",IF(AND($D66&lt;=W$4+4,$E66&gt;=W$4),1,""))</f>
        <v/>
      </c>
      <c r="X66" s="30" t="str">
        <f aca="false">IF(OR($D66="",$E66=""),"",IF(AND($D66&lt;=X$4+4,$E66&gt;=X$4),1,""))</f>
        <v/>
      </c>
      <c r="Y66" s="30" t="str">
        <f aca="false">IF(OR($D66="",$E66=""),"",IF(AND($D66&lt;=Y$4+4,$E66&gt;=Y$4),1,""))</f>
        <v/>
      </c>
      <c r="Z66" s="30" t="str">
        <f aca="false">IF(OR($D66="",$E66=""),"",IF(AND($D66&lt;=Z$4+4,$E66&gt;=Z$4),1,""))</f>
        <v/>
      </c>
      <c r="AA66" s="30" t="str">
        <f aca="false">IF(OR($D66="",$E66=""),"",IF(AND($D66&lt;=AA$4+4,$E66&gt;=AA$4),1,""))</f>
        <v/>
      </c>
      <c r="AB66" s="30" t="str">
        <f aca="false">IF(OR($D66="",$E66=""),"",IF(AND($D66&lt;=AB$4+4,$E66&gt;=AB$4),1,""))</f>
        <v/>
      </c>
      <c r="AC66" s="30" t="str">
        <f aca="false">IF(OR($D66="",$E66=""),"",IF(AND($D66&lt;=AC$4+4,$E66&gt;=AC$4),1,""))</f>
        <v/>
      </c>
      <c r="AD66" s="30" t="str">
        <f aca="false">IF(OR($D66="",$E66=""),"",IF(AND($D66&lt;=AD$4+4,$E66&gt;=AD$4),1,""))</f>
        <v/>
      </c>
      <c r="AE66" s="30" t="str">
        <f aca="false">IF(OR($D66="",$E66=""),"",IF(AND($D66&lt;=AE$4+4,$E66&gt;=AE$4),1,""))</f>
        <v/>
      </c>
    </row>
    <row r="67" customFormat="false" ht="15" hidden="false" customHeight="false" outlineLevel="0" collapsed="false">
      <c r="A67" s="28" t="n">
        <v>61</v>
      </c>
      <c r="B67" s="14" t="str">
        <f aca="false">IFERROR(INDEX(Tablero!$A$5:$A$104,MATCH($A67,Tablero!$J$5:$J$104,0))&amp;"","")</f>
        <v/>
      </c>
      <c r="C67" s="14" t="str">
        <f aca="false">IFERROR(INDEX(Tablero!$B$5:$B$104,MATCH($A67,Tablero!$J$5:$J$104,0))&amp;"","")</f>
        <v/>
      </c>
      <c r="D67" s="29" t="str">
        <f aca="false">IFERROR(INDEX(Tablero!$R$5:$R$104,MATCH($A67,Tablero!$J$5:$J$104,0)),"")</f>
        <v/>
      </c>
      <c r="E67" s="29" t="str">
        <f aca="false">IFERROR(INDEX(Tablero!$S$5:$S$104,MATCH($A67,Tablero!$J$5:$J$104,0)),"")</f>
        <v/>
      </c>
      <c r="F67" s="30" t="str">
        <f aca="false">IF(OR($D67="",$E67=""),"",IF(AND($D67&lt;=F$4+4,$E67&gt;=F$4),1,""))</f>
        <v/>
      </c>
      <c r="G67" s="30" t="str">
        <f aca="false">IF(OR($D67="",$E67=""),"",IF(AND($D67&lt;=G$4+4,$E67&gt;=G$4),1,""))</f>
        <v/>
      </c>
      <c r="H67" s="30" t="str">
        <f aca="false">IF(OR($D67="",$E67=""),"",IF(AND($D67&lt;=H$4+4,$E67&gt;=H$4),1,""))</f>
        <v/>
      </c>
      <c r="I67" s="30" t="str">
        <f aca="false">IF(OR($D67="",$E67=""),"",IF(AND($D67&lt;=I$4+4,$E67&gt;=I$4),1,""))</f>
        <v/>
      </c>
      <c r="J67" s="30" t="str">
        <f aca="false">IF(OR($D67="",$E67=""),"",IF(AND($D67&lt;=J$4+4,$E67&gt;=J$4),1,""))</f>
        <v/>
      </c>
      <c r="K67" s="30" t="str">
        <f aca="false">IF(OR($D67="",$E67=""),"",IF(AND($D67&lt;=K$4+4,$E67&gt;=K$4),1,""))</f>
        <v/>
      </c>
      <c r="L67" s="30" t="str">
        <f aca="false">IF(OR($D67="",$E67=""),"",IF(AND($D67&lt;=L$4+4,$E67&gt;=L$4),1,""))</f>
        <v/>
      </c>
      <c r="M67" s="30" t="str">
        <f aca="false">IF(OR($D67="",$E67=""),"",IF(AND($D67&lt;=M$4+4,$E67&gt;=M$4),1,""))</f>
        <v/>
      </c>
      <c r="N67" s="30" t="str">
        <f aca="false">IF(OR($D67="",$E67=""),"",IF(AND($D67&lt;=N$4+4,$E67&gt;=N$4),1,""))</f>
        <v/>
      </c>
      <c r="O67" s="30" t="str">
        <f aca="false">IF(OR($D67="",$E67=""),"",IF(AND($D67&lt;=O$4+4,$E67&gt;=O$4),1,""))</f>
        <v/>
      </c>
      <c r="P67" s="30" t="str">
        <f aca="false">IF(OR($D67="",$E67=""),"",IF(AND($D67&lt;=P$4+4,$E67&gt;=P$4),1,""))</f>
        <v/>
      </c>
      <c r="Q67" s="30" t="str">
        <f aca="false">IF(OR($D67="",$E67=""),"",IF(AND($D67&lt;=Q$4+4,$E67&gt;=Q$4),1,""))</f>
        <v/>
      </c>
      <c r="R67" s="30" t="str">
        <f aca="false">IF(OR($D67="",$E67=""),"",IF(AND($D67&lt;=R$4+4,$E67&gt;=R$4),1,""))</f>
        <v/>
      </c>
      <c r="S67" s="30" t="str">
        <f aca="false">IF(OR($D67="",$E67=""),"",IF(AND($D67&lt;=S$4+4,$E67&gt;=S$4),1,""))</f>
        <v/>
      </c>
      <c r="T67" s="30" t="str">
        <f aca="false">IF(OR($D67="",$E67=""),"",IF(AND($D67&lt;=T$4+4,$E67&gt;=T$4),1,""))</f>
        <v/>
      </c>
      <c r="U67" s="30" t="str">
        <f aca="false">IF(OR($D67="",$E67=""),"",IF(AND($D67&lt;=U$4+4,$E67&gt;=U$4),1,""))</f>
        <v/>
      </c>
      <c r="V67" s="30" t="str">
        <f aca="false">IF(OR($D67="",$E67=""),"",IF(AND($D67&lt;=V$4+4,$E67&gt;=V$4),1,""))</f>
        <v/>
      </c>
      <c r="W67" s="30" t="str">
        <f aca="false">IF(OR($D67="",$E67=""),"",IF(AND($D67&lt;=W$4+4,$E67&gt;=W$4),1,""))</f>
        <v/>
      </c>
      <c r="X67" s="30" t="str">
        <f aca="false">IF(OR($D67="",$E67=""),"",IF(AND($D67&lt;=X$4+4,$E67&gt;=X$4),1,""))</f>
        <v/>
      </c>
      <c r="Y67" s="30" t="str">
        <f aca="false">IF(OR($D67="",$E67=""),"",IF(AND($D67&lt;=Y$4+4,$E67&gt;=Y$4),1,""))</f>
        <v/>
      </c>
      <c r="Z67" s="30" t="str">
        <f aca="false">IF(OR($D67="",$E67=""),"",IF(AND($D67&lt;=Z$4+4,$E67&gt;=Z$4),1,""))</f>
        <v/>
      </c>
      <c r="AA67" s="30" t="str">
        <f aca="false">IF(OR($D67="",$E67=""),"",IF(AND($D67&lt;=AA$4+4,$E67&gt;=AA$4),1,""))</f>
        <v/>
      </c>
      <c r="AB67" s="30" t="str">
        <f aca="false">IF(OR($D67="",$E67=""),"",IF(AND($D67&lt;=AB$4+4,$E67&gt;=AB$4),1,""))</f>
        <v/>
      </c>
      <c r="AC67" s="30" t="str">
        <f aca="false">IF(OR($D67="",$E67=""),"",IF(AND($D67&lt;=AC$4+4,$E67&gt;=AC$4),1,""))</f>
        <v/>
      </c>
      <c r="AD67" s="30" t="str">
        <f aca="false">IF(OR($D67="",$E67=""),"",IF(AND($D67&lt;=AD$4+4,$E67&gt;=AD$4),1,""))</f>
        <v/>
      </c>
      <c r="AE67" s="30" t="str">
        <f aca="false">IF(OR($D67="",$E67=""),"",IF(AND($D67&lt;=AE$4+4,$E67&gt;=AE$4),1,""))</f>
        <v/>
      </c>
    </row>
    <row r="68" customFormat="false" ht="15" hidden="false" customHeight="false" outlineLevel="0" collapsed="false">
      <c r="A68" s="28" t="n">
        <v>62</v>
      </c>
      <c r="B68" s="14" t="str">
        <f aca="false">IFERROR(INDEX(Tablero!$A$5:$A$104,MATCH($A68,Tablero!$J$5:$J$104,0))&amp;"","")</f>
        <v/>
      </c>
      <c r="C68" s="14" t="str">
        <f aca="false">IFERROR(INDEX(Tablero!$B$5:$B$104,MATCH($A68,Tablero!$J$5:$J$104,0))&amp;"","")</f>
        <v/>
      </c>
      <c r="D68" s="29" t="str">
        <f aca="false">IFERROR(INDEX(Tablero!$R$5:$R$104,MATCH($A68,Tablero!$J$5:$J$104,0)),"")</f>
        <v/>
      </c>
      <c r="E68" s="29" t="str">
        <f aca="false">IFERROR(INDEX(Tablero!$S$5:$S$104,MATCH($A68,Tablero!$J$5:$J$104,0)),"")</f>
        <v/>
      </c>
      <c r="F68" s="30" t="str">
        <f aca="false">IF(OR($D68="",$E68=""),"",IF(AND($D68&lt;=F$4+4,$E68&gt;=F$4),1,""))</f>
        <v/>
      </c>
      <c r="G68" s="30" t="str">
        <f aca="false">IF(OR($D68="",$E68=""),"",IF(AND($D68&lt;=G$4+4,$E68&gt;=G$4),1,""))</f>
        <v/>
      </c>
      <c r="H68" s="30" t="str">
        <f aca="false">IF(OR($D68="",$E68=""),"",IF(AND($D68&lt;=H$4+4,$E68&gt;=H$4),1,""))</f>
        <v/>
      </c>
      <c r="I68" s="30" t="str">
        <f aca="false">IF(OR($D68="",$E68=""),"",IF(AND($D68&lt;=I$4+4,$E68&gt;=I$4),1,""))</f>
        <v/>
      </c>
      <c r="J68" s="30" t="str">
        <f aca="false">IF(OR($D68="",$E68=""),"",IF(AND($D68&lt;=J$4+4,$E68&gt;=J$4),1,""))</f>
        <v/>
      </c>
      <c r="K68" s="30" t="str">
        <f aca="false">IF(OR($D68="",$E68=""),"",IF(AND($D68&lt;=K$4+4,$E68&gt;=K$4),1,""))</f>
        <v/>
      </c>
      <c r="L68" s="30" t="str">
        <f aca="false">IF(OR($D68="",$E68=""),"",IF(AND($D68&lt;=L$4+4,$E68&gt;=L$4),1,""))</f>
        <v/>
      </c>
      <c r="M68" s="30" t="str">
        <f aca="false">IF(OR($D68="",$E68=""),"",IF(AND($D68&lt;=M$4+4,$E68&gt;=M$4),1,""))</f>
        <v/>
      </c>
      <c r="N68" s="30" t="str">
        <f aca="false">IF(OR($D68="",$E68=""),"",IF(AND($D68&lt;=N$4+4,$E68&gt;=N$4),1,""))</f>
        <v/>
      </c>
      <c r="O68" s="30" t="str">
        <f aca="false">IF(OR($D68="",$E68=""),"",IF(AND($D68&lt;=O$4+4,$E68&gt;=O$4),1,""))</f>
        <v/>
      </c>
      <c r="P68" s="30" t="str">
        <f aca="false">IF(OR($D68="",$E68=""),"",IF(AND($D68&lt;=P$4+4,$E68&gt;=P$4),1,""))</f>
        <v/>
      </c>
      <c r="Q68" s="30" t="str">
        <f aca="false">IF(OR($D68="",$E68=""),"",IF(AND($D68&lt;=Q$4+4,$E68&gt;=Q$4),1,""))</f>
        <v/>
      </c>
      <c r="R68" s="30" t="str">
        <f aca="false">IF(OR($D68="",$E68=""),"",IF(AND($D68&lt;=R$4+4,$E68&gt;=R$4),1,""))</f>
        <v/>
      </c>
      <c r="S68" s="30" t="str">
        <f aca="false">IF(OR($D68="",$E68=""),"",IF(AND($D68&lt;=S$4+4,$E68&gt;=S$4),1,""))</f>
        <v/>
      </c>
      <c r="T68" s="30" t="str">
        <f aca="false">IF(OR($D68="",$E68=""),"",IF(AND($D68&lt;=T$4+4,$E68&gt;=T$4),1,""))</f>
        <v/>
      </c>
      <c r="U68" s="30" t="str">
        <f aca="false">IF(OR($D68="",$E68=""),"",IF(AND($D68&lt;=U$4+4,$E68&gt;=U$4),1,""))</f>
        <v/>
      </c>
      <c r="V68" s="30" t="str">
        <f aca="false">IF(OR($D68="",$E68=""),"",IF(AND($D68&lt;=V$4+4,$E68&gt;=V$4),1,""))</f>
        <v/>
      </c>
      <c r="W68" s="30" t="str">
        <f aca="false">IF(OR($D68="",$E68=""),"",IF(AND($D68&lt;=W$4+4,$E68&gt;=W$4),1,""))</f>
        <v/>
      </c>
      <c r="X68" s="30" t="str">
        <f aca="false">IF(OR($D68="",$E68=""),"",IF(AND($D68&lt;=X$4+4,$E68&gt;=X$4),1,""))</f>
        <v/>
      </c>
      <c r="Y68" s="30" t="str">
        <f aca="false">IF(OR($D68="",$E68=""),"",IF(AND($D68&lt;=Y$4+4,$E68&gt;=Y$4),1,""))</f>
        <v/>
      </c>
      <c r="Z68" s="30" t="str">
        <f aca="false">IF(OR($D68="",$E68=""),"",IF(AND($D68&lt;=Z$4+4,$E68&gt;=Z$4),1,""))</f>
        <v/>
      </c>
      <c r="AA68" s="30" t="str">
        <f aca="false">IF(OR($D68="",$E68=""),"",IF(AND($D68&lt;=AA$4+4,$E68&gt;=AA$4),1,""))</f>
        <v/>
      </c>
      <c r="AB68" s="30" t="str">
        <f aca="false">IF(OR($D68="",$E68=""),"",IF(AND($D68&lt;=AB$4+4,$E68&gt;=AB$4),1,""))</f>
        <v/>
      </c>
      <c r="AC68" s="30" t="str">
        <f aca="false">IF(OR($D68="",$E68=""),"",IF(AND($D68&lt;=AC$4+4,$E68&gt;=AC$4),1,""))</f>
        <v/>
      </c>
      <c r="AD68" s="30" t="str">
        <f aca="false">IF(OR($D68="",$E68=""),"",IF(AND($D68&lt;=AD$4+4,$E68&gt;=AD$4),1,""))</f>
        <v/>
      </c>
      <c r="AE68" s="30" t="str">
        <f aca="false">IF(OR($D68="",$E68=""),"",IF(AND($D68&lt;=AE$4+4,$E68&gt;=AE$4),1,""))</f>
        <v/>
      </c>
    </row>
    <row r="69" customFormat="false" ht="15" hidden="false" customHeight="false" outlineLevel="0" collapsed="false">
      <c r="A69" s="28" t="n">
        <v>63</v>
      </c>
      <c r="B69" s="14" t="str">
        <f aca="false">IFERROR(INDEX(Tablero!$A$5:$A$104,MATCH($A69,Tablero!$J$5:$J$104,0))&amp;"","")</f>
        <v/>
      </c>
      <c r="C69" s="14" t="str">
        <f aca="false">IFERROR(INDEX(Tablero!$B$5:$B$104,MATCH($A69,Tablero!$J$5:$J$104,0))&amp;"","")</f>
        <v/>
      </c>
      <c r="D69" s="29" t="str">
        <f aca="false">IFERROR(INDEX(Tablero!$R$5:$R$104,MATCH($A69,Tablero!$J$5:$J$104,0)),"")</f>
        <v/>
      </c>
      <c r="E69" s="29" t="str">
        <f aca="false">IFERROR(INDEX(Tablero!$S$5:$S$104,MATCH($A69,Tablero!$J$5:$J$104,0)),"")</f>
        <v/>
      </c>
      <c r="F69" s="30" t="str">
        <f aca="false">IF(OR($D69="",$E69=""),"",IF(AND($D69&lt;=F$4+4,$E69&gt;=F$4),1,""))</f>
        <v/>
      </c>
      <c r="G69" s="30" t="str">
        <f aca="false">IF(OR($D69="",$E69=""),"",IF(AND($D69&lt;=G$4+4,$E69&gt;=G$4),1,""))</f>
        <v/>
      </c>
      <c r="H69" s="30" t="str">
        <f aca="false">IF(OR($D69="",$E69=""),"",IF(AND($D69&lt;=H$4+4,$E69&gt;=H$4),1,""))</f>
        <v/>
      </c>
      <c r="I69" s="30" t="str">
        <f aca="false">IF(OR($D69="",$E69=""),"",IF(AND($D69&lt;=I$4+4,$E69&gt;=I$4),1,""))</f>
        <v/>
      </c>
      <c r="J69" s="30" t="str">
        <f aca="false">IF(OR($D69="",$E69=""),"",IF(AND($D69&lt;=J$4+4,$E69&gt;=J$4),1,""))</f>
        <v/>
      </c>
      <c r="K69" s="30" t="str">
        <f aca="false">IF(OR($D69="",$E69=""),"",IF(AND($D69&lt;=K$4+4,$E69&gt;=K$4),1,""))</f>
        <v/>
      </c>
      <c r="L69" s="30" t="str">
        <f aca="false">IF(OR($D69="",$E69=""),"",IF(AND($D69&lt;=L$4+4,$E69&gt;=L$4),1,""))</f>
        <v/>
      </c>
      <c r="M69" s="30" t="str">
        <f aca="false">IF(OR($D69="",$E69=""),"",IF(AND($D69&lt;=M$4+4,$E69&gt;=M$4),1,""))</f>
        <v/>
      </c>
      <c r="N69" s="30" t="str">
        <f aca="false">IF(OR($D69="",$E69=""),"",IF(AND($D69&lt;=N$4+4,$E69&gt;=N$4),1,""))</f>
        <v/>
      </c>
      <c r="O69" s="30" t="str">
        <f aca="false">IF(OR($D69="",$E69=""),"",IF(AND($D69&lt;=O$4+4,$E69&gt;=O$4),1,""))</f>
        <v/>
      </c>
      <c r="P69" s="30" t="str">
        <f aca="false">IF(OR($D69="",$E69=""),"",IF(AND($D69&lt;=P$4+4,$E69&gt;=P$4),1,""))</f>
        <v/>
      </c>
      <c r="Q69" s="30" t="str">
        <f aca="false">IF(OR($D69="",$E69=""),"",IF(AND($D69&lt;=Q$4+4,$E69&gt;=Q$4),1,""))</f>
        <v/>
      </c>
      <c r="R69" s="30" t="str">
        <f aca="false">IF(OR($D69="",$E69=""),"",IF(AND($D69&lt;=R$4+4,$E69&gt;=R$4),1,""))</f>
        <v/>
      </c>
      <c r="S69" s="30" t="str">
        <f aca="false">IF(OR($D69="",$E69=""),"",IF(AND($D69&lt;=S$4+4,$E69&gt;=S$4),1,""))</f>
        <v/>
      </c>
      <c r="T69" s="30" t="str">
        <f aca="false">IF(OR($D69="",$E69=""),"",IF(AND($D69&lt;=T$4+4,$E69&gt;=T$4),1,""))</f>
        <v/>
      </c>
      <c r="U69" s="30" t="str">
        <f aca="false">IF(OR($D69="",$E69=""),"",IF(AND($D69&lt;=U$4+4,$E69&gt;=U$4),1,""))</f>
        <v/>
      </c>
      <c r="V69" s="30" t="str">
        <f aca="false">IF(OR($D69="",$E69=""),"",IF(AND($D69&lt;=V$4+4,$E69&gt;=V$4),1,""))</f>
        <v/>
      </c>
      <c r="W69" s="30" t="str">
        <f aca="false">IF(OR($D69="",$E69=""),"",IF(AND($D69&lt;=W$4+4,$E69&gt;=W$4),1,""))</f>
        <v/>
      </c>
      <c r="X69" s="30" t="str">
        <f aca="false">IF(OR($D69="",$E69=""),"",IF(AND($D69&lt;=X$4+4,$E69&gt;=X$4),1,""))</f>
        <v/>
      </c>
      <c r="Y69" s="30" t="str">
        <f aca="false">IF(OR($D69="",$E69=""),"",IF(AND($D69&lt;=Y$4+4,$E69&gt;=Y$4),1,""))</f>
        <v/>
      </c>
      <c r="Z69" s="30" t="str">
        <f aca="false">IF(OR($D69="",$E69=""),"",IF(AND($D69&lt;=Z$4+4,$E69&gt;=Z$4),1,""))</f>
        <v/>
      </c>
      <c r="AA69" s="30" t="str">
        <f aca="false">IF(OR($D69="",$E69=""),"",IF(AND($D69&lt;=AA$4+4,$E69&gt;=AA$4),1,""))</f>
        <v/>
      </c>
      <c r="AB69" s="30" t="str">
        <f aca="false">IF(OR($D69="",$E69=""),"",IF(AND($D69&lt;=AB$4+4,$E69&gt;=AB$4),1,""))</f>
        <v/>
      </c>
      <c r="AC69" s="30" t="str">
        <f aca="false">IF(OR($D69="",$E69=""),"",IF(AND($D69&lt;=AC$4+4,$E69&gt;=AC$4),1,""))</f>
        <v/>
      </c>
      <c r="AD69" s="30" t="str">
        <f aca="false">IF(OR($D69="",$E69=""),"",IF(AND($D69&lt;=AD$4+4,$E69&gt;=AD$4),1,""))</f>
        <v/>
      </c>
      <c r="AE69" s="30" t="str">
        <f aca="false">IF(OR($D69="",$E69=""),"",IF(AND($D69&lt;=AE$4+4,$E69&gt;=AE$4),1,""))</f>
        <v/>
      </c>
    </row>
    <row r="70" customFormat="false" ht="15" hidden="false" customHeight="false" outlineLevel="0" collapsed="false">
      <c r="A70" s="28" t="n">
        <v>64</v>
      </c>
      <c r="B70" s="14" t="str">
        <f aca="false">IFERROR(INDEX(Tablero!$A$5:$A$104,MATCH($A70,Tablero!$J$5:$J$104,0))&amp;"","")</f>
        <v/>
      </c>
      <c r="C70" s="14" t="str">
        <f aca="false">IFERROR(INDEX(Tablero!$B$5:$B$104,MATCH($A70,Tablero!$J$5:$J$104,0))&amp;"","")</f>
        <v/>
      </c>
      <c r="D70" s="29" t="str">
        <f aca="false">IFERROR(INDEX(Tablero!$R$5:$R$104,MATCH($A70,Tablero!$J$5:$J$104,0)),"")</f>
        <v/>
      </c>
      <c r="E70" s="29" t="str">
        <f aca="false">IFERROR(INDEX(Tablero!$S$5:$S$104,MATCH($A70,Tablero!$J$5:$J$104,0)),"")</f>
        <v/>
      </c>
      <c r="F70" s="30" t="str">
        <f aca="false">IF(OR($D70="",$E70=""),"",IF(AND($D70&lt;=F$4+4,$E70&gt;=F$4),1,""))</f>
        <v/>
      </c>
      <c r="G70" s="30" t="str">
        <f aca="false">IF(OR($D70="",$E70=""),"",IF(AND($D70&lt;=G$4+4,$E70&gt;=G$4),1,""))</f>
        <v/>
      </c>
      <c r="H70" s="30" t="str">
        <f aca="false">IF(OR($D70="",$E70=""),"",IF(AND($D70&lt;=H$4+4,$E70&gt;=H$4),1,""))</f>
        <v/>
      </c>
      <c r="I70" s="30" t="str">
        <f aca="false">IF(OR($D70="",$E70=""),"",IF(AND($D70&lt;=I$4+4,$E70&gt;=I$4),1,""))</f>
        <v/>
      </c>
      <c r="J70" s="30" t="str">
        <f aca="false">IF(OR($D70="",$E70=""),"",IF(AND($D70&lt;=J$4+4,$E70&gt;=J$4),1,""))</f>
        <v/>
      </c>
      <c r="K70" s="30" t="str">
        <f aca="false">IF(OR($D70="",$E70=""),"",IF(AND($D70&lt;=K$4+4,$E70&gt;=K$4),1,""))</f>
        <v/>
      </c>
      <c r="L70" s="30" t="str">
        <f aca="false">IF(OR($D70="",$E70=""),"",IF(AND($D70&lt;=L$4+4,$E70&gt;=L$4),1,""))</f>
        <v/>
      </c>
      <c r="M70" s="30" t="str">
        <f aca="false">IF(OR($D70="",$E70=""),"",IF(AND($D70&lt;=M$4+4,$E70&gt;=M$4),1,""))</f>
        <v/>
      </c>
      <c r="N70" s="30" t="str">
        <f aca="false">IF(OR($D70="",$E70=""),"",IF(AND($D70&lt;=N$4+4,$E70&gt;=N$4),1,""))</f>
        <v/>
      </c>
      <c r="O70" s="30" t="str">
        <f aca="false">IF(OR($D70="",$E70=""),"",IF(AND($D70&lt;=O$4+4,$E70&gt;=O$4),1,""))</f>
        <v/>
      </c>
      <c r="P70" s="30" t="str">
        <f aca="false">IF(OR($D70="",$E70=""),"",IF(AND($D70&lt;=P$4+4,$E70&gt;=P$4),1,""))</f>
        <v/>
      </c>
      <c r="Q70" s="30" t="str">
        <f aca="false">IF(OR($D70="",$E70=""),"",IF(AND($D70&lt;=Q$4+4,$E70&gt;=Q$4),1,""))</f>
        <v/>
      </c>
      <c r="R70" s="30" t="str">
        <f aca="false">IF(OR($D70="",$E70=""),"",IF(AND($D70&lt;=R$4+4,$E70&gt;=R$4),1,""))</f>
        <v/>
      </c>
      <c r="S70" s="30" t="str">
        <f aca="false">IF(OR($D70="",$E70=""),"",IF(AND($D70&lt;=S$4+4,$E70&gt;=S$4),1,""))</f>
        <v/>
      </c>
      <c r="T70" s="30" t="str">
        <f aca="false">IF(OR($D70="",$E70=""),"",IF(AND($D70&lt;=T$4+4,$E70&gt;=T$4),1,""))</f>
        <v/>
      </c>
      <c r="U70" s="30" t="str">
        <f aca="false">IF(OR($D70="",$E70=""),"",IF(AND($D70&lt;=U$4+4,$E70&gt;=U$4),1,""))</f>
        <v/>
      </c>
      <c r="V70" s="30" t="str">
        <f aca="false">IF(OR($D70="",$E70=""),"",IF(AND($D70&lt;=V$4+4,$E70&gt;=V$4),1,""))</f>
        <v/>
      </c>
      <c r="W70" s="30" t="str">
        <f aca="false">IF(OR($D70="",$E70=""),"",IF(AND($D70&lt;=W$4+4,$E70&gt;=W$4),1,""))</f>
        <v/>
      </c>
      <c r="X70" s="30" t="str">
        <f aca="false">IF(OR($D70="",$E70=""),"",IF(AND($D70&lt;=X$4+4,$E70&gt;=X$4),1,""))</f>
        <v/>
      </c>
      <c r="Y70" s="30" t="str">
        <f aca="false">IF(OR($D70="",$E70=""),"",IF(AND($D70&lt;=Y$4+4,$E70&gt;=Y$4),1,""))</f>
        <v/>
      </c>
      <c r="Z70" s="30" t="str">
        <f aca="false">IF(OR($D70="",$E70=""),"",IF(AND($D70&lt;=Z$4+4,$E70&gt;=Z$4),1,""))</f>
        <v/>
      </c>
      <c r="AA70" s="30" t="str">
        <f aca="false">IF(OR($D70="",$E70=""),"",IF(AND($D70&lt;=AA$4+4,$E70&gt;=AA$4),1,""))</f>
        <v/>
      </c>
      <c r="AB70" s="30" t="str">
        <f aca="false">IF(OR($D70="",$E70=""),"",IF(AND($D70&lt;=AB$4+4,$E70&gt;=AB$4),1,""))</f>
        <v/>
      </c>
      <c r="AC70" s="30" t="str">
        <f aca="false">IF(OR($D70="",$E70=""),"",IF(AND($D70&lt;=AC$4+4,$E70&gt;=AC$4),1,""))</f>
        <v/>
      </c>
      <c r="AD70" s="30" t="str">
        <f aca="false">IF(OR($D70="",$E70=""),"",IF(AND($D70&lt;=AD$4+4,$E70&gt;=AD$4),1,""))</f>
        <v/>
      </c>
      <c r="AE70" s="30" t="str">
        <f aca="false">IF(OR($D70="",$E70=""),"",IF(AND($D70&lt;=AE$4+4,$E70&gt;=AE$4),1,""))</f>
        <v/>
      </c>
    </row>
    <row r="71" customFormat="false" ht="15" hidden="false" customHeight="false" outlineLevel="0" collapsed="false">
      <c r="A71" s="28" t="n">
        <v>65</v>
      </c>
      <c r="B71" s="14" t="str">
        <f aca="false">IFERROR(INDEX(Tablero!$A$5:$A$104,MATCH($A71,Tablero!$J$5:$J$104,0))&amp;"","")</f>
        <v/>
      </c>
      <c r="C71" s="14" t="str">
        <f aca="false">IFERROR(INDEX(Tablero!$B$5:$B$104,MATCH($A71,Tablero!$J$5:$J$104,0))&amp;"","")</f>
        <v/>
      </c>
      <c r="D71" s="29" t="str">
        <f aca="false">IFERROR(INDEX(Tablero!$R$5:$R$104,MATCH($A71,Tablero!$J$5:$J$104,0)),"")</f>
        <v/>
      </c>
      <c r="E71" s="29" t="str">
        <f aca="false">IFERROR(INDEX(Tablero!$S$5:$S$104,MATCH($A71,Tablero!$J$5:$J$104,0)),"")</f>
        <v/>
      </c>
      <c r="F71" s="30" t="str">
        <f aca="false">IF(OR($D71="",$E71=""),"",IF(AND($D71&lt;=F$4+4,$E71&gt;=F$4),1,""))</f>
        <v/>
      </c>
      <c r="G71" s="30" t="str">
        <f aca="false">IF(OR($D71="",$E71=""),"",IF(AND($D71&lt;=G$4+4,$E71&gt;=G$4),1,""))</f>
        <v/>
      </c>
      <c r="H71" s="30" t="str">
        <f aca="false">IF(OR($D71="",$E71=""),"",IF(AND($D71&lt;=H$4+4,$E71&gt;=H$4),1,""))</f>
        <v/>
      </c>
      <c r="I71" s="30" t="str">
        <f aca="false">IF(OR($D71="",$E71=""),"",IF(AND($D71&lt;=I$4+4,$E71&gt;=I$4),1,""))</f>
        <v/>
      </c>
      <c r="J71" s="30" t="str">
        <f aca="false">IF(OR($D71="",$E71=""),"",IF(AND($D71&lt;=J$4+4,$E71&gt;=J$4),1,""))</f>
        <v/>
      </c>
      <c r="K71" s="30" t="str">
        <f aca="false">IF(OR($D71="",$E71=""),"",IF(AND($D71&lt;=K$4+4,$E71&gt;=K$4),1,""))</f>
        <v/>
      </c>
      <c r="L71" s="30" t="str">
        <f aca="false">IF(OR($D71="",$E71=""),"",IF(AND($D71&lt;=L$4+4,$E71&gt;=L$4),1,""))</f>
        <v/>
      </c>
      <c r="M71" s="30" t="str">
        <f aca="false">IF(OR($D71="",$E71=""),"",IF(AND($D71&lt;=M$4+4,$E71&gt;=M$4),1,""))</f>
        <v/>
      </c>
      <c r="N71" s="30" t="str">
        <f aca="false">IF(OR($D71="",$E71=""),"",IF(AND($D71&lt;=N$4+4,$E71&gt;=N$4),1,""))</f>
        <v/>
      </c>
      <c r="O71" s="30" t="str">
        <f aca="false">IF(OR($D71="",$E71=""),"",IF(AND($D71&lt;=O$4+4,$E71&gt;=O$4),1,""))</f>
        <v/>
      </c>
      <c r="P71" s="30" t="str">
        <f aca="false">IF(OR($D71="",$E71=""),"",IF(AND($D71&lt;=P$4+4,$E71&gt;=P$4),1,""))</f>
        <v/>
      </c>
      <c r="Q71" s="30" t="str">
        <f aca="false">IF(OR($D71="",$E71=""),"",IF(AND($D71&lt;=Q$4+4,$E71&gt;=Q$4),1,""))</f>
        <v/>
      </c>
      <c r="R71" s="30" t="str">
        <f aca="false">IF(OR($D71="",$E71=""),"",IF(AND($D71&lt;=R$4+4,$E71&gt;=R$4),1,""))</f>
        <v/>
      </c>
      <c r="S71" s="30" t="str">
        <f aca="false">IF(OR($D71="",$E71=""),"",IF(AND($D71&lt;=S$4+4,$E71&gt;=S$4),1,""))</f>
        <v/>
      </c>
      <c r="T71" s="30" t="str">
        <f aca="false">IF(OR($D71="",$E71=""),"",IF(AND($D71&lt;=T$4+4,$E71&gt;=T$4),1,""))</f>
        <v/>
      </c>
      <c r="U71" s="30" t="str">
        <f aca="false">IF(OR($D71="",$E71=""),"",IF(AND($D71&lt;=U$4+4,$E71&gt;=U$4),1,""))</f>
        <v/>
      </c>
      <c r="V71" s="30" t="str">
        <f aca="false">IF(OR($D71="",$E71=""),"",IF(AND($D71&lt;=V$4+4,$E71&gt;=V$4),1,""))</f>
        <v/>
      </c>
      <c r="W71" s="30" t="str">
        <f aca="false">IF(OR($D71="",$E71=""),"",IF(AND($D71&lt;=W$4+4,$E71&gt;=W$4),1,""))</f>
        <v/>
      </c>
      <c r="X71" s="30" t="str">
        <f aca="false">IF(OR($D71="",$E71=""),"",IF(AND($D71&lt;=X$4+4,$E71&gt;=X$4),1,""))</f>
        <v/>
      </c>
      <c r="Y71" s="30" t="str">
        <f aca="false">IF(OR($D71="",$E71=""),"",IF(AND($D71&lt;=Y$4+4,$E71&gt;=Y$4),1,""))</f>
        <v/>
      </c>
      <c r="Z71" s="30" t="str">
        <f aca="false">IF(OR($D71="",$E71=""),"",IF(AND($D71&lt;=Z$4+4,$E71&gt;=Z$4),1,""))</f>
        <v/>
      </c>
      <c r="AA71" s="30" t="str">
        <f aca="false">IF(OR($D71="",$E71=""),"",IF(AND($D71&lt;=AA$4+4,$E71&gt;=AA$4),1,""))</f>
        <v/>
      </c>
      <c r="AB71" s="30" t="str">
        <f aca="false">IF(OR($D71="",$E71=""),"",IF(AND($D71&lt;=AB$4+4,$E71&gt;=AB$4),1,""))</f>
        <v/>
      </c>
      <c r="AC71" s="30" t="str">
        <f aca="false">IF(OR($D71="",$E71=""),"",IF(AND($D71&lt;=AC$4+4,$E71&gt;=AC$4),1,""))</f>
        <v/>
      </c>
      <c r="AD71" s="30" t="str">
        <f aca="false">IF(OR($D71="",$E71=""),"",IF(AND($D71&lt;=AD$4+4,$E71&gt;=AD$4),1,""))</f>
        <v/>
      </c>
      <c r="AE71" s="30" t="str">
        <f aca="false">IF(OR($D71="",$E71=""),"",IF(AND($D71&lt;=AE$4+4,$E71&gt;=AE$4),1,""))</f>
        <v/>
      </c>
    </row>
    <row r="72" customFormat="false" ht="15" hidden="false" customHeight="false" outlineLevel="0" collapsed="false">
      <c r="A72" s="28" t="n">
        <v>66</v>
      </c>
      <c r="B72" s="14" t="str">
        <f aca="false">IFERROR(INDEX(Tablero!$A$5:$A$104,MATCH($A72,Tablero!$J$5:$J$104,0))&amp;"","")</f>
        <v/>
      </c>
      <c r="C72" s="14" t="str">
        <f aca="false">IFERROR(INDEX(Tablero!$B$5:$B$104,MATCH($A72,Tablero!$J$5:$J$104,0))&amp;"","")</f>
        <v/>
      </c>
      <c r="D72" s="29" t="str">
        <f aca="false">IFERROR(INDEX(Tablero!$R$5:$R$104,MATCH($A72,Tablero!$J$5:$J$104,0)),"")</f>
        <v/>
      </c>
      <c r="E72" s="29" t="str">
        <f aca="false">IFERROR(INDEX(Tablero!$S$5:$S$104,MATCH($A72,Tablero!$J$5:$J$104,0)),"")</f>
        <v/>
      </c>
      <c r="F72" s="30" t="str">
        <f aca="false">IF(OR($D72="",$E72=""),"",IF(AND($D72&lt;=F$4+4,$E72&gt;=F$4),1,""))</f>
        <v/>
      </c>
      <c r="G72" s="30" t="str">
        <f aca="false">IF(OR($D72="",$E72=""),"",IF(AND($D72&lt;=G$4+4,$E72&gt;=G$4),1,""))</f>
        <v/>
      </c>
      <c r="H72" s="30" t="str">
        <f aca="false">IF(OR($D72="",$E72=""),"",IF(AND($D72&lt;=H$4+4,$E72&gt;=H$4),1,""))</f>
        <v/>
      </c>
      <c r="I72" s="30" t="str">
        <f aca="false">IF(OR($D72="",$E72=""),"",IF(AND($D72&lt;=I$4+4,$E72&gt;=I$4),1,""))</f>
        <v/>
      </c>
      <c r="J72" s="30" t="str">
        <f aca="false">IF(OR($D72="",$E72=""),"",IF(AND($D72&lt;=J$4+4,$E72&gt;=J$4),1,""))</f>
        <v/>
      </c>
      <c r="K72" s="30" t="str">
        <f aca="false">IF(OR($D72="",$E72=""),"",IF(AND($D72&lt;=K$4+4,$E72&gt;=K$4),1,""))</f>
        <v/>
      </c>
      <c r="L72" s="30" t="str">
        <f aca="false">IF(OR($D72="",$E72=""),"",IF(AND($D72&lt;=L$4+4,$E72&gt;=L$4),1,""))</f>
        <v/>
      </c>
      <c r="M72" s="30" t="str">
        <f aca="false">IF(OR($D72="",$E72=""),"",IF(AND($D72&lt;=M$4+4,$E72&gt;=M$4),1,""))</f>
        <v/>
      </c>
      <c r="N72" s="30" t="str">
        <f aca="false">IF(OR($D72="",$E72=""),"",IF(AND($D72&lt;=N$4+4,$E72&gt;=N$4),1,""))</f>
        <v/>
      </c>
      <c r="O72" s="30" t="str">
        <f aca="false">IF(OR($D72="",$E72=""),"",IF(AND($D72&lt;=O$4+4,$E72&gt;=O$4),1,""))</f>
        <v/>
      </c>
      <c r="P72" s="30" t="str">
        <f aca="false">IF(OR($D72="",$E72=""),"",IF(AND($D72&lt;=P$4+4,$E72&gt;=P$4),1,""))</f>
        <v/>
      </c>
      <c r="Q72" s="30" t="str">
        <f aca="false">IF(OR($D72="",$E72=""),"",IF(AND($D72&lt;=Q$4+4,$E72&gt;=Q$4),1,""))</f>
        <v/>
      </c>
      <c r="R72" s="30" t="str">
        <f aca="false">IF(OR($D72="",$E72=""),"",IF(AND($D72&lt;=R$4+4,$E72&gt;=R$4),1,""))</f>
        <v/>
      </c>
      <c r="S72" s="30" t="str">
        <f aca="false">IF(OR($D72="",$E72=""),"",IF(AND($D72&lt;=S$4+4,$E72&gt;=S$4),1,""))</f>
        <v/>
      </c>
      <c r="T72" s="30" t="str">
        <f aca="false">IF(OR($D72="",$E72=""),"",IF(AND($D72&lt;=T$4+4,$E72&gt;=T$4),1,""))</f>
        <v/>
      </c>
      <c r="U72" s="30" t="str">
        <f aca="false">IF(OR($D72="",$E72=""),"",IF(AND($D72&lt;=U$4+4,$E72&gt;=U$4),1,""))</f>
        <v/>
      </c>
      <c r="V72" s="30" t="str">
        <f aca="false">IF(OR($D72="",$E72=""),"",IF(AND($D72&lt;=V$4+4,$E72&gt;=V$4),1,""))</f>
        <v/>
      </c>
      <c r="W72" s="30" t="str">
        <f aca="false">IF(OR($D72="",$E72=""),"",IF(AND($D72&lt;=W$4+4,$E72&gt;=W$4),1,""))</f>
        <v/>
      </c>
      <c r="X72" s="30" t="str">
        <f aca="false">IF(OR($D72="",$E72=""),"",IF(AND($D72&lt;=X$4+4,$E72&gt;=X$4),1,""))</f>
        <v/>
      </c>
      <c r="Y72" s="30" t="str">
        <f aca="false">IF(OR($D72="",$E72=""),"",IF(AND($D72&lt;=Y$4+4,$E72&gt;=Y$4),1,""))</f>
        <v/>
      </c>
      <c r="Z72" s="30" t="str">
        <f aca="false">IF(OR($D72="",$E72=""),"",IF(AND($D72&lt;=Z$4+4,$E72&gt;=Z$4),1,""))</f>
        <v/>
      </c>
      <c r="AA72" s="30" t="str">
        <f aca="false">IF(OR($D72="",$E72=""),"",IF(AND($D72&lt;=AA$4+4,$E72&gt;=AA$4),1,""))</f>
        <v/>
      </c>
      <c r="AB72" s="30" t="str">
        <f aca="false">IF(OR($D72="",$E72=""),"",IF(AND($D72&lt;=AB$4+4,$E72&gt;=AB$4),1,""))</f>
        <v/>
      </c>
      <c r="AC72" s="30" t="str">
        <f aca="false">IF(OR($D72="",$E72=""),"",IF(AND($D72&lt;=AC$4+4,$E72&gt;=AC$4),1,""))</f>
        <v/>
      </c>
      <c r="AD72" s="30" t="str">
        <f aca="false">IF(OR($D72="",$E72=""),"",IF(AND($D72&lt;=AD$4+4,$E72&gt;=AD$4),1,""))</f>
        <v/>
      </c>
      <c r="AE72" s="30" t="str">
        <f aca="false">IF(OR($D72="",$E72=""),"",IF(AND($D72&lt;=AE$4+4,$E72&gt;=AE$4),1,""))</f>
        <v/>
      </c>
    </row>
    <row r="73" customFormat="false" ht="15" hidden="false" customHeight="false" outlineLevel="0" collapsed="false">
      <c r="A73" s="28" t="n">
        <v>67</v>
      </c>
      <c r="B73" s="14" t="str">
        <f aca="false">IFERROR(INDEX(Tablero!$A$5:$A$104,MATCH($A73,Tablero!$J$5:$J$104,0))&amp;"","")</f>
        <v/>
      </c>
      <c r="C73" s="14" t="str">
        <f aca="false">IFERROR(INDEX(Tablero!$B$5:$B$104,MATCH($A73,Tablero!$J$5:$J$104,0))&amp;"","")</f>
        <v/>
      </c>
      <c r="D73" s="29" t="str">
        <f aca="false">IFERROR(INDEX(Tablero!$R$5:$R$104,MATCH($A73,Tablero!$J$5:$J$104,0)),"")</f>
        <v/>
      </c>
      <c r="E73" s="29" t="str">
        <f aca="false">IFERROR(INDEX(Tablero!$S$5:$S$104,MATCH($A73,Tablero!$J$5:$J$104,0)),"")</f>
        <v/>
      </c>
      <c r="F73" s="30" t="str">
        <f aca="false">IF(OR($D73="",$E73=""),"",IF(AND($D73&lt;=F$4+4,$E73&gt;=F$4),1,""))</f>
        <v/>
      </c>
      <c r="G73" s="30" t="str">
        <f aca="false">IF(OR($D73="",$E73=""),"",IF(AND($D73&lt;=G$4+4,$E73&gt;=G$4),1,""))</f>
        <v/>
      </c>
      <c r="H73" s="30" t="str">
        <f aca="false">IF(OR($D73="",$E73=""),"",IF(AND($D73&lt;=H$4+4,$E73&gt;=H$4),1,""))</f>
        <v/>
      </c>
      <c r="I73" s="30" t="str">
        <f aca="false">IF(OR($D73="",$E73=""),"",IF(AND($D73&lt;=I$4+4,$E73&gt;=I$4),1,""))</f>
        <v/>
      </c>
      <c r="J73" s="30" t="str">
        <f aca="false">IF(OR($D73="",$E73=""),"",IF(AND($D73&lt;=J$4+4,$E73&gt;=J$4),1,""))</f>
        <v/>
      </c>
      <c r="K73" s="30" t="str">
        <f aca="false">IF(OR($D73="",$E73=""),"",IF(AND($D73&lt;=K$4+4,$E73&gt;=K$4),1,""))</f>
        <v/>
      </c>
      <c r="L73" s="30" t="str">
        <f aca="false">IF(OR($D73="",$E73=""),"",IF(AND($D73&lt;=L$4+4,$E73&gt;=L$4),1,""))</f>
        <v/>
      </c>
      <c r="M73" s="30" t="str">
        <f aca="false">IF(OR($D73="",$E73=""),"",IF(AND($D73&lt;=M$4+4,$E73&gt;=M$4),1,""))</f>
        <v/>
      </c>
      <c r="N73" s="30" t="str">
        <f aca="false">IF(OR($D73="",$E73=""),"",IF(AND($D73&lt;=N$4+4,$E73&gt;=N$4),1,""))</f>
        <v/>
      </c>
      <c r="O73" s="30" t="str">
        <f aca="false">IF(OR($D73="",$E73=""),"",IF(AND($D73&lt;=O$4+4,$E73&gt;=O$4),1,""))</f>
        <v/>
      </c>
      <c r="P73" s="30" t="str">
        <f aca="false">IF(OR($D73="",$E73=""),"",IF(AND($D73&lt;=P$4+4,$E73&gt;=P$4),1,""))</f>
        <v/>
      </c>
      <c r="Q73" s="30" t="str">
        <f aca="false">IF(OR($D73="",$E73=""),"",IF(AND($D73&lt;=Q$4+4,$E73&gt;=Q$4),1,""))</f>
        <v/>
      </c>
      <c r="R73" s="30" t="str">
        <f aca="false">IF(OR($D73="",$E73=""),"",IF(AND($D73&lt;=R$4+4,$E73&gt;=R$4),1,""))</f>
        <v/>
      </c>
      <c r="S73" s="30" t="str">
        <f aca="false">IF(OR($D73="",$E73=""),"",IF(AND($D73&lt;=S$4+4,$E73&gt;=S$4),1,""))</f>
        <v/>
      </c>
      <c r="T73" s="30" t="str">
        <f aca="false">IF(OR($D73="",$E73=""),"",IF(AND($D73&lt;=T$4+4,$E73&gt;=T$4),1,""))</f>
        <v/>
      </c>
      <c r="U73" s="30" t="str">
        <f aca="false">IF(OR($D73="",$E73=""),"",IF(AND($D73&lt;=U$4+4,$E73&gt;=U$4),1,""))</f>
        <v/>
      </c>
      <c r="V73" s="30" t="str">
        <f aca="false">IF(OR($D73="",$E73=""),"",IF(AND($D73&lt;=V$4+4,$E73&gt;=V$4),1,""))</f>
        <v/>
      </c>
      <c r="W73" s="30" t="str">
        <f aca="false">IF(OR($D73="",$E73=""),"",IF(AND($D73&lt;=W$4+4,$E73&gt;=W$4),1,""))</f>
        <v/>
      </c>
      <c r="X73" s="30" t="str">
        <f aca="false">IF(OR($D73="",$E73=""),"",IF(AND($D73&lt;=X$4+4,$E73&gt;=X$4),1,""))</f>
        <v/>
      </c>
      <c r="Y73" s="30" t="str">
        <f aca="false">IF(OR($D73="",$E73=""),"",IF(AND($D73&lt;=Y$4+4,$E73&gt;=Y$4),1,""))</f>
        <v/>
      </c>
      <c r="Z73" s="30" t="str">
        <f aca="false">IF(OR($D73="",$E73=""),"",IF(AND($D73&lt;=Z$4+4,$E73&gt;=Z$4),1,""))</f>
        <v/>
      </c>
      <c r="AA73" s="30" t="str">
        <f aca="false">IF(OR($D73="",$E73=""),"",IF(AND($D73&lt;=AA$4+4,$E73&gt;=AA$4),1,""))</f>
        <v/>
      </c>
      <c r="AB73" s="30" t="str">
        <f aca="false">IF(OR($D73="",$E73=""),"",IF(AND($D73&lt;=AB$4+4,$E73&gt;=AB$4),1,""))</f>
        <v/>
      </c>
      <c r="AC73" s="30" t="str">
        <f aca="false">IF(OR($D73="",$E73=""),"",IF(AND($D73&lt;=AC$4+4,$E73&gt;=AC$4),1,""))</f>
        <v/>
      </c>
      <c r="AD73" s="30" t="str">
        <f aca="false">IF(OR($D73="",$E73=""),"",IF(AND($D73&lt;=AD$4+4,$E73&gt;=AD$4),1,""))</f>
        <v/>
      </c>
      <c r="AE73" s="30" t="str">
        <f aca="false">IF(OR($D73="",$E73=""),"",IF(AND($D73&lt;=AE$4+4,$E73&gt;=AE$4),1,""))</f>
        <v/>
      </c>
    </row>
    <row r="74" customFormat="false" ht="15" hidden="false" customHeight="false" outlineLevel="0" collapsed="false">
      <c r="A74" s="28" t="n">
        <v>68</v>
      </c>
      <c r="B74" s="14" t="str">
        <f aca="false">IFERROR(INDEX(Tablero!$A$5:$A$104,MATCH($A74,Tablero!$J$5:$J$104,0))&amp;"","")</f>
        <v/>
      </c>
      <c r="C74" s="14" t="str">
        <f aca="false">IFERROR(INDEX(Tablero!$B$5:$B$104,MATCH($A74,Tablero!$J$5:$J$104,0))&amp;"","")</f>
        <v/>
      </c>
      <c r="D74" s="29" t="str">
        <f aca="false">IFERROR(INDEX(Tablero!$R$5:$R$104,MATCH($A74,Tablero!$J$5:$J$104,0)),"")</f>
        <v/>
      </c>
      <c r="E74" s="29" t="str">
        <f aca="false">IFERROR(INDEX(Tablero!$S$5:$S$104,MATCH($A74,Tablero!$J$5:$J$104,0)),"")</f>
        <v/>
      </c>
      <c r="F74" s="30" t="str">
        <f aca="false">IF(OR($D74="",$E74=""),"",IF(AND($D74&lt;=F$4+4,$E74&gt;=F$4),1,""))</f>
        <v/>
      </c>
      <c r="G74" s="30" t="str">
        <f aca="false">IF(OR($D74="",$E74=""),"",IF(AND($D74&lt;=G$4+4,$E74&gt;=G$4),1,""))</f>
        <v/>
      </c>
      <c r="H74" s="30" t="str">
        <f aca="false">IF(OR($D74="",$E74=""),"",IF(AND($D74&lt;=H$4+4,$E74&gt;=H$4),1,""))</f>
        <v/>
      </c>
      <c r="I74" s="30" t="str">
        <f aca="false">IF(OR($D74="",$E74=""),"",IF(AND($D74&lt;=I$4+4,$E74&gt;=I$4),1,""))</f>
        <v/>
      </c>
      <c r="J74" s="30" t="str">
        <f aca="false">IF(OR($D74="",$E74=""),"",IF(AND($D74&lt;=J$4+4,$E74&gt;=J$4),1,""))</f>
        <v/>
      </c>
      <c r="K74" s="30" t="str">
        <f aca="false">IF(OR($D74="",$E74=""),"",IF(AND($D74&lt;=K$4+4,$E74&gt;=K$4),1,""))</f>
        <v/>
      </c>
      <c r="L74" s="30" t="str">
        <f aca="false">IF(OR($D74="",$E74=""),"",IF(AND($D74&lt;=L$4+4,$E74&gt;=L$4),1,""))</f>
        <v/>
      </c>
      <c r="M74" s="30" t="str">
        <f aca="false">IF(OR($D74="",$E74=""),"",IF(AND($D74&lt;=M$4+4,$E74&gt;=M$4),1,""))</f>
        <v/>
      </c>
      <c r="N74" s="30" t="str">
        <f aca="false">IF(OR($D74="",$E74=""),"",IF(AND($D74&lt;=N$4+4,$E74&gt;=N$4),1,""))</f>
        <v/>
      </c>
      <c r="O74" s="30" t="str">
        <f aca="false">IF(OR($D74="",$E74=""),"",IF(AND($D74&lt;=O$4+4,$E74&gt;=O$4),1,""))</f>
        <v/>
      </c>
      <c r="P74" s="30" t="str">
        <f aca="false">IF(OR($D74="",$E74=""),"",IF(AND($D74&lt;=P$4+4,$E74&gt;=P$4),1,""))</f>
        <v/>
      </c>
      <c r="Q74" s="30" t="str">
        <f aca="false">IF(OR($D74="",$E74=""),"",IF(AND($D74&lt;=Q$4+4,$E74&gt;=Q$4),1,""))</f>
        <v/>
      </c>
      <c r="R74" s="30" t="str">
        <f aca="false">IF(OR($D74="",$E74=""),"",IF(AND($D74&lt;=R$4+4,$E74&gt;=R$4),1,""))</f>
        <v/>
      </c>
      <c r="S74" s="30" t="str">
        <f aca="false">IF(OR($D74="",$E74=""),"",IF(AND($D74&lt;=S$4+4,$E74&gt;=S$4),1,""))</f>
        <v/>
      </c>
      <c r="T74" s="30" t="str">
        <f aca="false">IF(OR($D74="",$E74=""),"",IF(AND($D74&lt;=T$4+4,$E74&gt;=T$4),1,""))</f>
        <v/>
      </c>
      <c r="U74" s="30" t="str">
        <f aca="false">IF(OR($D74="",$E74=""),"",IF(AND($D74&lt;=U$4+4,$E74&gt;=U$4),1,""))</f>
        <v/>
      </c>
      <c r="V74" s="30" t="str">
        <f aca="false">IF(OR($D74="",$E74=""),"",IF(AND($D74&lt;=V$4+4,$E74&gt;=V$4),1,""))</f>
        <v/>
      </c>
      <c r="W74" s="30" t="str">
        <f aca="false">IF(OR($D74="",$E74=""),"",IF(AND($D74&lt;=W$4+4,$E74&gt;=W$4),1,""))</f>
        <v/>
      </c>
      <c r="X74" s="30" t="str">
        <f aca="false">IF(OR($D74="",$E74=""),"",IF(AND($D74&lt;=X$4+4,$E74&gt;=X$4),1,""))</f>
        <v/>
      </c>
      <c r="Y74" s="30" t="str">
        <f aca="false">IF(OR($D74="",$E74=""),"",IF(AND($D74&lt;=Y$4+4,$E74&gt;=Y$4),1,""))</f>
        <v/>
      </c>
      <c r="Z74" s="30" t="str">
        <f aca="false">IF(OR($D74="",$E74=""),"",IF(AND($D74&lt;=Z$4+4,$E74&gt;=Z$4),1,""))</f>
        <v/>
      </c>
      <c r="AA74" s="30" t="str">
        <f aca="false">IF(OR($D74="",$E74=""),"",IF(AND($D74&lt;=AA$4+4,$E74&gt;=AA$4),1,""))</f>
        <v/>
      </c>
      <c r="AB74" s="30" t="str">
        <f aca="false">IF(OR($D74="",$E74=""),"",IF(AND($D74&lt;=AB$4+4,$E74&gt;=AB$4),1,""))</f>
        <v/>
      </c>
      <c r="AC74" s="30" t="str">
        <f aca="false">IF(OR($D74="",$E74=""),"",IF(AND($D74&lt;=AC$4+4,$E74&gt;=AC$4),1,""))</f>
        <v/>
      </c>
      <c r="AD74" s="30" t="str">
        <f aca="false">IF(OR($D74="",$E74=""),"",IF(AND($D74&lt;=AD$4+4,$E74&gt;=AD$4),1,""))</f>
        <v/>
      </c>
      <c r="AE74" s="30" t="str">
        <f aca="false">IF(OR($D74="",$E74=""),"",IF(AND($D74&lt;=AE$4+4,$E74&gt;=AE$4),1,""))</f>
        <v/>
      </c>
    </row>
    <row r="75" customFormat="false" ht="15" hidden="false" customHeight="false" outlineLevel="0" collapsed="false">
      <c r="A75" s="28" t="n">
        <v>69</v>
      </c>
      <c r="B75" s="14" t="str">
        <f aca="false">IFERROR(INDEX(Tablero!$A$5:$A$104,MATCH($A75,Tablero!$J$5:$J$104,0))&amp;"","")</f>
        <v/>
      </c>
      <c r="C75" s="14" t="str">
        <f aca="false">IFERROR(INDEX(Tablero!$B$5:$B$104,MATCH($A75,Tablero!$J$5:$J$104,0))&amp;"","")</f>
        <v/>
      </c>
      <c r="D75" s="29" t="str">
        <f aca="false">IFERROR(INDEX(Tablero!$R$5:$R$104,MATCH($A75,Tablero!$J$5:$J$104,0)),"")</f>
        <v/>
      </c>
      <c r="E75" s="29" t="str">
        <f aca="false">IFERROR(INDEX(Tablero!$S$5:$S$104,MATCH($A75,Tablero!$J$5:$J$104,0)),"")</f>
        <v/>
      </c>
      <c r="F75" s="30" t="str">
        <f aca="false">IF(OR($D75="",$E75=""),"",IF(AND($D75&lt;=F$4+4,$E75&gt;=F$4),1,""))</f>
        <v/>
      </c>
      <c r="G75" s="30" t="str">
        <f aca="false">IF(OR($D75="",$E75=""),"",IF(AND($D75&lt;=G$4+4,$E75&gt;=G$4),1,""))</f>
        <v/>
      </c>
      <c r="H75" s="30" t="str">
        <f aca="false">IF(OR($D75="",$E75=""),"",IF(AND($D75&lt;=H$4+4,$E75&gt;=H$4),1,""))</f>
        <v/>
      </c>
      <c r="I75" s="30" t="str">
        <f aca="false">IF(OR($D75="",$E75=""),"",IF(AND($D75&lt;=I$4+4,$E75&gt;=I$4),1,""))</f>
        <v/>
      </c>
      <c r="J75" s="30" t="str">
        <f aca="false">IF(OR($D75="",$E75=""),"",IF(AND($D75&lt;=J$4+4,$E75&gt;=J$4),1,""))</f>
        <v/>
      </c>
      <c r="K75" s="30" t="str">
        <f aca="false">IF(OR($D75="",$E75=""),"",IF(AND($D75&lt;=K$4+4,$E75&gt;=K$4),1,""))</f>
        <v/>
      </c>
      <c r="L75" s="30" t="str">
        <f aca="false">IF(OR($D75="",$E75=""),"",IF(AND($D75&lt;=L$4+4,$E75&gt;=L$4),1,""))</f>
        <v/>
      </c>
      <c r="M75" s="30" t="str">
        <f aca="false">IF(OR($D75="",$E75=""),"",IF(AND($D75&lt;=M$4+4,$E75&gt;=M$4),1,""))</f>
        <v/>
      </c>
      <c r="N75" s="30" t="str">
        <f aca="false">IF(OR($D75="",$E75=""),"",IF(AND($D75&lt;=N$4+4,$E75&gt;=N$4),1,""))</f>
        <v/>
      </c>
      <c r="O75" s="30" t="str">
        <f aca="false">IF(OR($D75="",$E75=""),"",IF(AND($D75&lt;=O$4+4,$E75&gt;=O$4),1,""))</f>
        <v/>
      </c>
      <c r="P75" s="30" t="str">
        <f aca="false">IF(OR($D75="",$E75=""),"",IF(AND($D75&lt;=P$4+4,$E75&gt;=P$4),1,""))</f>
        <v/>
      </c>
      <c r="Q75" s="30" t="str">
        <f aca="false">IF(OR($D75="",$E75=""),"",IF(AND($D75&lt;=Q$4+4,$E75&gt;=Q$4),1,""))</f>
        <v/>
      </c>
      <c r="R75" s="30" t="str">
        <f aca="false">IF(OR($D75="",$E75=""),"",IF(AND($D75&lt;=R$4+4,$E75&gt;=R$4),1,""))</f>
        <v/>
      </c>
      <c r="S75" s="30" t="str">
        <f aca="false">IF(OR($D75="",$E75=""),"",IF(AND($D75&lt;=S$4+4,$E75&gt;=S$4),1,""))</f>
        <v/>
      </c>
      <c r="T75" s="30" t="str">
        <f aca="false">IF(OR($D75="",$E75=""),"",IF(AND($D75&lt;=T$4+4,$E75&gt;=T$4),1,""))</f>
        <v/>
      </c>
      <c r="U75" s="30" t="str">
        <f aca="false">IF(OR($D75="",$E75=""),"",IF(AND($D75&lt;=U$4+4,$E75&gt;=U$4),1,""))</f>
        <v/>
      </c>
      <c r="V75" s="30" t="str">
        <f aca="false">IF(OR($D75="",$E75=""),"",IF(AND($D75&lt;=V$4+4,$E75&gt;=V$4),1,""))</f>
        <v/>
      </c>
      <c r="W75" s="30" t="str">
        <f aca="false">IF(OR($D75="",$E75=""),"",IF(AND($D75&lt;=W$4+4,$E75&gt;=W$4),1,""))</f>
        <v/>
      </c>
      <c r="X75" s="30" t="str">
        <f aca="false">IF(OR($D75="",$E75=""),"",IF(AND($D75&lt;=X$4+4,$E75&gt;=X$4),1,""))</f>
        <v/>
      </c>
      <c r="Y75" s="30" t="str">
        <f aca="false">IF(OR($D75="",$E75=""),"",IF(AND($D75&lt;=Y$4+4,$E75&gt;=Y$4),1,""))</f>
        <v/>
      </c>
      <c r="Z75" s="30" t="str">
        <f aca="false">IF(OR($D75="",$E75=""),"",IF(AND($D75&lt;=Z$4+4,$E75&gt;=Z$4),1,""))</f>
        <v/>
      </c>
      <c r="AA75" s="30" t="str">
        <f aca="false">IF(OR($D75="",$E75=""),"",IF(AND($D75&lt;=AA$4+4,$E75&gt;=AA$4),1,""))</f>
        <v/>
      </c>
      <c r="AB75" s="30" t="str">
        <f aca="false">IF(OR($D75="",$E75=""),"",IF(AND($D75&lt;=AB$4+4,$E75&gt;=AB$4),1,""))</f>
        <v/>
      </c>
      <c r="AC75" s="30" t="str">
        <f aca="false">IF(OR($D75="",$E75=""),"",IF(AND($D75&lt;=AC$4+4,$E75&gt;=AC$4),1,""))</f>
        <v/>
      </c>
      <c r="AD75" s="30" t="str">
        <f aca="false">IF(OR($D75="",$E75=""),"",IF(AND($D75&lt;=AD$4+4,$E75&gt;=AD$4),1,""))</f>
        <v/>
      </c>
      <c r="AE75" s="30" t="str">
        <f aca="false">IF(OR($D75="",$E75=""),"",IF(AND($D75&lt;=AE$4+4,$E75&gt;=AE$4),1,""))</f>
        <v/>
      </c>
    </row>
    <row r="76" customFormat="false" ht="15" hidden="false" customHeight="false" outlineLevel="0" collapsed="false">
      <c r="A76" s="28" t="n">
        <v>70</v>
      </c>
      <c r="B76" s="14" t="str">
        <f aca="false">IFERROR(INDEX(Tablero!$A$5:$A$104,MATCH($A76,Tablero!$J$5:$J$104,0))&amp;"","")</f>
        <v/>
      </c>
      <c r="C76" s="14" t="str">
        <f aca="false">IFERROR(INDEX(Tablero!$B$5:$B$104,MATCH($A76,Tablero!$J$5:$J$104,0))&amp;"","")</f>
        <v/>
      </c>
      <c r="D76" s="29" t="str">
        <f aca="false">IFERROR(INDEX(Tablero!$R$5:$R$104,MATCH($A76,Tablero!$J$5:$J$104,0)),"")</f>
        <v/>
      </c>
      <c r="E76" s="29" t="str">
        <f aca="false">IFERROR(INDEX(Tablero!$S$5:$S$104,MATCH($A76,Tablero!$J$5:$J$104,0)),"")</f>
        <v/>
      </c>
      <c r="F76" s="30" t="str">
        <f aca="false">IF(OR($D76="",$E76=""),"",IF(AND($D76&lt;=F$4+4,$E76&gt;=F$4),1,""))</f>
        <v/>
      </c>
      <c r="G76" s="30" t="str">
        <f aca="false">IF(OR($D76="",$E76=""),"",IF(AND($D76&lt;=G$4+4,$E76&gt;=G$4),1,""))</f>
        <v/>
      </c>
      <c r="H76" s="30" t="str">
        <f aca="false">IF(OR($D76="",$E76=""),"",IF(AND($D76&lt;=H$4+4,$E76&gt;=H$4),1,""))</f>
        <v/>
      </c>
      <c r="I76" s="30" t="str">
        <f aca="false">IF(OR($D76="",$E76=""),"",IF(AND($D76&lt;=I$4+4,$E76&gt;=I$4),1,""))</f>
        <v/>
      </c>
      <c r="J76" s="30" t="str">
        <f aca="false">IF(OR($D76="",$E76=""),"",IF(AND($D76&lt;=J$4+4,$E76&gt;=J$4),1,""))</f>
        <v/>
      </c>
      <c r="K76" s="30" t="str">
        <f aca="false">IF(OR($D76="",$E76=""),"",IF(AND($D76&lt;=K$4+4,$E76&gt;=K$4),1,""))</f>
        <v/>
      </c>
      <c r="L76" s="30" t="str">
        <f aca="false">IF(OR($D76="",$E76=""),"",IF(AND($D76&lt;=L$4+4,$E76&gt;=L$4),1,""))</f>
        <v/>
      </c>
      <c r="M76" s="30" t="str">
        <f aca="false">IF(OR($D76="",$E76=""),"",IF(AND($D76&lt;=M$4+4,$E76&gt;=M$4),1,""))</f>
        <v/>
      </c>
      <c r="N76" s="30" t="str">
        <f aca="false">IF(OR($D76="",$E76=""),"",IF(AND($D76&lt;=N$4+4,$E76&gt;=N$4),1,""))</f>
        <v/>
      </c>
      <c r="O76" s="30" t="str">
        <f aca="false">IF(OR($D76="",$E76=""),"",IF(AND($D76&lt;=O$4+4,$E76&gt;=O$4),1,""))</f>
        <v/>
      </c>
      <c r="P76" s="30" t="str">
        <f aca="false">IF(OR($D76="",$E76=""),"",IF(AND($D76&lt;=P$4+4,$E76&gt;=P$4),1,""))</f>
        <v/>
      </c>
      <c r="Q76" s="30" t="str">
        <f aca="false">IF(OR($D76="",$E76=""),"",IF(AND($D76&lt;=Q$4+4,$E76&gt;=Q$4),1,""))</f>
        <v/>
      </c>
      <c r="R76" s="30" t="str">
        <f aca="false">IF(OR($D76="",$E76=""),"",IF(AND($D76&lt;=R$4+4,$E76&gt;=R$4),1,""))</f>
        <v/>
      </c>
      <c r="S76" s="30" t="str">
        <f aca="false">IF(OR($D76="",$E76=""),"",IF(AND($D76&lt;=S$4+4,$E76&gt;=S$4),1,""))</f>
        <v/>
      </c>
      <c r="T76" s="30" t="str">
        <f aca="false">IF(OR($D76="",$E76=""),"",IF(AND($D76&lt;=T$4+4,$E76&gt;=T$4),1,""))</f>
        <v/>
      </c>
      <c r="U76" s="30" t="str">
        <f aca="false">IF(OR($D76="",$E76=""),"",IF(AND($D76&lt;=U$4+4,$E76&gt;=U$4),1,""))</f>
        <v/>
      </c>
      <c r="V76" s="30" t="str">
        <f aca="false">IF(OR($D76="",$E76=""),"",IF(AND($D76&lt;=V$4+4,$E76&gt;=V$4),1,""))</f>
        <v/>
      </c>
      <c r="W76" s="30" t="str">
        <f aca="false">IF(OR($D76="",$E76=""),"",IF(AND($D76&lt;=W$4+4,$E76&gt;=W$4),1,""))</f>
        <v/>
      </c>
      <c r="X76" s="30" t="str">
        <f aca="false">IF(OR($D76="",$E76=""),"",IF(AND($D76&lt;=X$4+4,$E76&gt;=X$4),1,""))</f>
        <v/>
      </c>
      <c r="Y76" s="30" t="str">
        <f aca="false">IF(OR($D76="",$E76=""),"",IF(AND($D76&lt;=Y$4+4,$E76&gt;=Y$4),1,""))</f>
        <v/>
      </c>
      <c r="Z76" s="30" t="str">
        <f aca="false">IF(OR($D76="",$E76=""),"",IF(AND($D76&lt;=Z$4+4,$E76&gt;=Z$4),1,""))</f>
        <v/>
      </c>
      <c r="AA76" s="30" t="str">
        <f aca="false">IF(OR($D76="",$E76=""),"",IF(AND($D76&lt;=AA$4+4,$E76&gt;=AA$4),1,""))</f>
        <v/>
      </c>
      <c r="AB76" s="30" t="str">
        <f aca="false">IF(OR($D76="",$E76=""),"",IF(AND($D76&lt;=AB$4+4,$E76&gt;=AB$4),1,""))</f>
        <v/>
      </c>
      <c r="AC76" s="30" t="str">
        <f aca="false">IF(OR($D76="",$E76=""),"",IF(AND($D76&lt;=AC$4+4,$E76&gt;=AC$4),1,""))</f>
        <v/>
      </c>
      <c r="AD76" s="30" t="str">
        <f aca="false">IF(OR($D76="",$E76=""),"",IF(AND($D76&lt;=AD$4+4,$E76&gt;=AD$4),1,""))</f>
        <v/>
      </c>
      <c r="AE76" s="30" t="str">
        <f aca="false">IF(OR($D76="",$E76=""),"",IF(AND($D76&lt;=AE$4+4,$E76&gt;=AE$4),1,""))</f>
        <v/>
      </c>
    </row>
    <row r="77" customFormat="false" ht="15" hidden="false" customHeight="false" outlineLevel="0" collapsed="false">
      <c r="A77" s="28" t="n">
        <v>71</v>
      </c>
      <c r="B77" s="14" t="str">
        <f aca="false">IFERROR(INDEX(Tablero!$A$5:$A$104,MATCH($A77,Tablero!$J$5:$J$104,0))&amp;"","")</f>
        <v/>
      </c>
      <c r="C77" s="14" t="str">
        <f aca="false">IFERROR(INDEX(Tablero!$B$5:$B$104,MATCH($A77,Tablero!$J$5:$J$104,0))&amp;"","")</f>
        <v/>
      </c>
      <c r="D77" s="29" t="str">
        <f aca="false">IFERROR(INDEX(Tablero!$R$5:$R$104,MATCH($A77,Tablero!$J$5:$J$104,0)),"")</f>
        <v/>
      </c>
      <c r="E77" s="29" t="str">
        <f aca="false">IFERROR(INDEX(Tablero!$S$5:$S$104,MATCH($A77,Tablero!$J$5:$J$104,0)),"")</f>
        <v/>
      </c>
      <c r="F77" s="30" t="str">
        <f aca="false">IF(OR($D77="",$E77=""),"",IF(AND($D77&lt;=F$4+4,$E77&gt;=F$4),1,""))</f>
        <v/>
      </c>
      <c r="G77" s="30" t="str">
        <f aca="false">IF(OR($D77="",$E77=""),"",IF(AND($D77&lt;=G$4+4,$E77&gt;=G$4),1,""))</f>
        <v/>
      </c>
      <c r="H77" s="30" t="str">
        <f aca="false">IF(OR($D77="",$E77=""),"",IF(AND($D77&lt;=H$4+4,$E77&gt;=H$4),1,""))</f>
        <v/>
      </c>
      <c r="I77" s="30" t="str">
        <f aca="false">IF(OR($D77="",$E77=""),"",IF(AND($D77&lt;=I$4+4,$E77&gt;=I$4),1,""))</f>
        <v/>
      </c>
      <c r="J77" s="30" t="str">
        <f aca="false">IF(OR($D77="",$E77=""),"",IF(AND($D77&lt;=J$4+4,$E77&gt;=J$4),1,""))</f>
        <v/>
      </c>
      <c r="K77" s="30" t="str">
        <f aca="false">IF(OR($D77="",$E77=""),"",IF(AND($D77&lt;=K$4+4,$E77&gt;=K$4),1,""))</f>
        <v/>
      </c>
      <c r="L77" s="30" t="str">
        <f aca="false">IF(OR($D77="",$E77=""),"",IF(AND($D77&lt;=L$4+4,$E77&gt;=L$4),1,""))</f>
        <v/>
      </c>
      <c r="M77" s="30" t="str">
        <f aca="false">IF(OR($D77="",$E77=""),"",IF(AND($D77&lt;=M$4+4,$E77&gt;=M$4),1,""))</f>
        <v/>
      </c>
      <c r="N77" s="30" t="str">
        <f aca="false">IF(OR($D77="",$E77=""),"",IF(AND($D77&lt;=N$4+4,$E77&gt;=N$4),1,""))</f>
        <v/>
      </c>
      <c r="O77" s="30" t="str">
        <f aca="false">IF(OR($D77="",$E77=""),"",IF(AND($D77&lt;=O$4+4,$E77&gt;=O$4),1,""))</f>
        <v/>
      </c>
      <c r="P77" s="30" t="str">
        <f aca="false">IF(OR($D77="",$E77=""),"",IF(AND($D77&lt;=P$4+4,$E77&gt;=P$4),1,""))</f>
        <v/>
      </c>
      <c r="Q77" s="30" t="str">
        <f aca="false">IF(OR($D77="",$E77=""),"",IF(AND($D77&lt;=Q$4+4,$E77&gt;=Q$4),1,""))</f>
        <v/>
      </c>
      <c r="R77" s="30" t="str">
        <f aca="false">IF(OR($D77="",$E77=""),"",IF(AND($D77&lt;=R$4+4,$E77&gt;=R$4),1,""))</f>
        <v/>
      </c>
      <c r="S77" s="30" t="str">
        <f aca="false">IF(OR($D77="",$E77=""),"",IF(AND($D77&lt;=S$4+4,$E77&gt;=S$4),1,""))</f>
        <v/>
      </c>
      <c r="T77" s="30" t="str">
        <f aca="false">IF(OR($D77="",$E77=""),"",IF(AND($D77&lt;=T$4+4,$E77&gt;=T$4),1,""))</f>
        <v/>
      </c>
      <c r="U77" s="30" t="str">
        <f aca="false">IF(OR($D77="",$E77=""),"",IF(AND($D77&lt;=U$4+4,$E77&gt;=U$4),1,""))</f>
        <v/>
      </c>
      <c r="V77" s="30" t="str">
        <f aca="false">IF(OR($D77="",$E77=""),"",IF(AND($D77&lt;=V$4+4,$E77&gt;=V$4),1,""))</f>
        <v/>
      </c>
      <c r="W77" s="30" t="str">
        <f aca="false">IF(OR($D77="",$E77=""),"",IF(AND($D77&lt;=W$4+4,$E77&gt;=W$4),1,""))</f>
        <v/>
      </c>
      <c r="X77" s="30" t="str">
        <f aca="false">IF(OR($D77="",$E77=""),"",IF(AND($D77&lt;=X$4+4,$E77&gt;=X$4),1,""))</f>
        <v/>
      </c>
      <c r="Y77" s="30" t="str">
        <f aca="false">IF(OR($D77="",$E77=""),"",IF(AND($D77&lt;=Y$4+4,$E77&gt;=Y$4),1,""))</f>
        <v/>
      </c>
      <c r="Z77" s="30" t="str">
        <f aca="false">IF(OR($D77="",$E77=""),"",IF(AND($D77&lt;=Z$4+4,$E77&gt;=Z$4),1,""))</f>
        <v/>
      </c>
      <c r="AA77" s="30" t="str">
        <f aca="false">IF(OR($D77="",$E77=""),"",IF(AND($D77&lt;=AA$4+4,$E77&gt;=AA$4),1,""))</f>
        <v/>
      </c>
      <c r="AB77" s="30" t="str">
        <f aca="false">IF(OR($D77="",$E77=""),"",IF(AND($D77&lt;=AB$4+4,$E77&gt;=AB$4),1,""))</f>
        <v/>
      </c>
      <c r="AC77" s="30" t="str">
        <f aca="false">IF(OR($D77="",$E77=""),"",IF(AND($D77&lt;=AC$4+4,$E77&gt;=AC$4),1,""))</f>
        <v/>
      </c>
      <c r="AD77" s="30" t="str">
        <f aca="false">IF(OR($D77="",$E77=""),"",IF(AND($D77&lt;=AD$4+4,$E77&gt;=AD$4),1,""))</f>
        <v/>
      </c>
      <c r="AE77" s="30" t="str">
        <f aca="false">IF(OR($D77="",$E77=""),"",IF(AND($D77&lt;=AE$4+4,$E77&gt;=AE$4),1,""))</f>
        <v/>
      </c>
    </row>
    <row r="78" customFormat="false" ht="15" hidden="false" customHeight="false" outlineLevel="0" collapsed="false">
      <c r="A78" s="28" t="n">
        <v>72</v>
      </c>
      <c r="B78" s="14" t="str">
        <f aca="false">IFERROR(INDEX(Tablero!$A$5:$A$104,MATCH($A78,Tablero!$J$5:$J$104,0))&amp;"","")</f>
        <v/>
      </c>
      <c r="C78" s="14" t="str">
        <f aca="false">IFERROR(INDEX(Tablero!$B$5:$B$104,MATCH($A78,Tablero!$J$5:$J$104,0))&amp;"","")</f>
        <v/>
      </c>
      <c r="D78" s="29" t="str">
        <f aca="false">IFERROR(INDEX(Tablero!$R$5:$R$104,MATCH($A78,Tablero!$J$5:$J$104,0)),"")</f>
        <v/>
      </c>
      <c r="E78" s="29" t="str">
        <f aca="false">IFERROR(INDEX(Tablero!$S$5:$S$104,MATCH($A78,Tablero!$J$5:$J$104,0)),"")</f>
        <v/>
      </c>
      <c r="F78" s="30" t="str">
        <f aca="false">IF(OR($D78="",$E78=""),"",IF(AND($D78&lt;=F$4+4,$E78&gt;=F$4),1,""))</f>
        <v/>
      </c>
      <c r="G78" s="30" t="str">
        <f aca="false">IF(OR($D78="",$E78=""),"",IF(AND($D78&lt;=G$4+4,$E78&gt;=G$4),1,""))</f>
        <v/>
      </c>
      <c r="H78" s="30" t="str">
        <f aca="false">IF(OR($D78="",$E78=""),"",IF(AND($D78&lt;=H$4+4,$E78&gt;=H$4),1,""))</f>
        <v/>
      </c>
      <c r="I78" s="30" t="str">
        <f aca="false">IF(OR($D78="",$E78=""),"",IF(AND($D78&lt;=I$4+4,$E78&gt;=I$4),1,""))</f>
        <v/>
      </c>
      <c r="J78" s="30" t="str">
        <f aca="false">IF(OR($D78="",$E78=""),"",IF(AND($D78&lt;=J$4+4,$E78&gt;=J$4),1,""))</f>
        <v/>
      </c>
      <c r="K78" s="30" t="str">
        <f aca="false">IF(OR($D78="",$E78=""),"",IF(AND($D78&lt;=K$4+4,$E78&gt;=K$4),1,""))</f>
        <v/>
      </c>
      <c r="L78" s="30" t="str">
        <f aca="false">IF(OR($D78="",$E78=""),"",IF(AND($D78&lt;=L$4+4,$E78&gt;=L$4),1,""))</f>
        <v/>
      </c>
      <c r="M78" s="30" t="str">
        <f aca="false">IF(OR($D78="",$E78=""),"",IF(AND($D78&lt;=M$4+4,$E78&gt;=M$4),1,""))</f>
        <v/>
      </c>
      <c r="N78" s="30" t="str">
        <f aca="false">IF(OR($D78="",$E78=""),"",IF(AND($D78&lt;=N$4+4,$E78&gt;=N$4),1,""))</f>
        <v/>
      </c>
      <c r="O78" s="30" t="str">
        <f aca="false">IF(OR($D78="",$E78=""),"",IF(AND($D78&lt;=O$4+4,$E78&gt;=O$4),1,""))</f>
        <v/>
      </c>
      <c r="P78" s="30" t="str">
        <f aca="false">IF(OR($D78="",$E78=""),"",IF(AND($D78&lt;=P$4+4,$E78&gt;=P$4),1,""))</f>
        <v/>
      </c>
      <c r="Q78" s="30" t="str">
        <f aca="false">IF(OR($D78="",$E78=""),"",IF(AND($D78&lt;=Q$4+4,$E78&gt;=Q$4),1,""))</f>
        <v/>
      </c>
      <c r="R78" s="30" t="str">
        <f aca="false">IF(OR($D78="",$E78=""),"",IF(AND($D78&lt;=R$4+4,$E78&gt;=R$4),1,""))</f>
        <v/>
      </c>
      <c r="S78" s="30" t="str">
        <f aca="false">IF(OR($D78="",$E78=""),"",IF(AND($D78&lt;=S$4+4,$E78&gt;=S$4),1,""))</f>
        <v/>
      </c>
      <c r="T78" s="30" t="str">
        <f aca="false">IF(OR($D78="",$E78=""),"",IF(AND($D78&lt;=T$4+4,$E78&gt;=T$4),1,""))</f>
        <v/>
      </c>
      <c r="U78" s="30" t="str">
        <f aca="false">IF(OR($D78="",$E78=""),"",IF(AND($D78&lt;=U$4+4,$E78&gt;=U$4),1,""))</f>
        <v/>
      </c>
      <c r="V78" s="30" t="str">
        <f aca="false">IF(OR($D78="",$E78=""),"",IF(AND($D78&lt;=V$4+4,$E78&gt;=V$4),1,""))</f>
        <v/>
      </c>
      <c r="W78" s="30" t="str">
        <f aca="false">IF(OR($D78="",$E78=""),"",IF(AND($D78&lt;=W$4+4,$E78&gt;=W$4),1,""))</f>
        <v/>
      </c>
      <c r="X78" s="30" t="str">
        <f aca="false">IF(OR($D78="",$E78=""),"",IF(AND($D78&lt;=X$4+4,$E78&gt;=X$4),1,""))</f>
        <v/>
      </c>
      <c r="Y78" s="30" t="str">
        <f aca="false">IF(OR($D78="",$E78=""),"",IF(AND($D78&lt;=Y$4+4,$E78&gt;=Y$4),1,""))</f>
        <v/>
      </c>
      <c r="Z78" s="30" t="str">
        <f aca="false">IF(OR($D78="",$E78=""),"",IF(AND($D78&lt;=Z$4+4,$E78&gt;=Z$4),1,""))</f>
        <v/>
      </c>
      <c r="AA78" s="30" t="str">
        <f aca="false">IF(OR($D78="",$E78=""),"",IF(AND($D78&lt;=AA$4+4,$E78&gt;=AA$4),1,""))</f>
        <v/>
      </c>
      <c r="AB78" s="30" t="str">
        <f aca="false">IF(OR($D78="",$E78=""),"",IF(AND($D78&lt;=AB$4+4,$E78&gt;=AB$4),1,""))</f>
        <v/>
      </c>
      <c r="AC78" s="30" t="str">
        <f aca="false">IF(OR($D78="",$E78=""),"",IF(AND($D78&lt;=AC$4+4,$E78&gt;=AC$4),1,""))</f>
        <v/>
      </c>
      <c r="AD78" s="30" t="str">
        <f aca="false">IF(OR($D78="",$E78=""),"",IF(AND($D78&lt;=AD$4+4,$E78&gt;=AD$4),1,""))</f>
        <v/>
      </c>
      <c r="AE78" s="30" t="str">
        <f aca="false">IF(OR($D78="",$E78=""),"",IF(AND($D78&lt;=AE$4+4,$E78&gt;=AE$4),1,""))</f>
        <v/>
      </c>
    </row>
    <row r="79" customFormat="false" ht="15" hidden="false" customHeight="false" outlineLevel="0" collapsed="false">
      <c r="A79" s="28" t="n">
        <v>73</v>
      </c>
      <c r="B79" s="14" t="str">
        <f aca="false">IFERROR(INDEX(Tablero!$A$5:$A$104,MATCH($A79,Tablero!$J$5:$J$104,0))&amp;"","")</f>
        <v/>
      </c>
      <c r="C79" s="14" t="str">
        <f aca="false">IFERROR(INDEX(Tablero!$B$5:$B$104,MATCH($A79,Tablero!$J$5:$J$104,0))&amp;"","")</f>
        <v/>
      </c>
      <c r="D79" s="29" t="str">
        <f aca="false">IFERROR(INDEX(Tablero!$R$5:$R$104,MATCH($A79,Tablero!$J$5:$J$104,0)),"")</f>
        <v/>
      </c>
      <c r="E79" s="29" t="str">
        <f aca="false">IFERROR(INDEX(Tablero!$S$5:$S$104,MATCH($A79,Tablero!$J$5:$J$104,0)),"")</f>
        <v/>
      </c>
      <c r="F79" s="30" t="str">
        <f aca="false">IF(OR($D79="",$E79=""),"",IF(AND($D79&lt;=F$4+4,$E79&gt;=F$4),1,""))</f>
        <v/>
      </c>
      <c r="G79" s="30" t="str">
        <f aca="false">IF(OR($D79="",$E79=""),"",IF(AND($D79&lt;=G$4+4,$E79&gt;=G$4),1,""))</f>
        <v/>
      </c>
      <c r="H79" s="30" t="str">
        <f aca="false">IF(OR($D79="",$E79=""),"",IF(AND($D79&lt;=H$4+4,$E79&gt;=H$4),1,""))</f>
        <v/>
      </c>
      <c r="I79" s="30" t="str">
        <f aca="false">IF(OR($D79="",$E79=""),"",IF(AND($D79&lt;=I$4+4,$E79&gt;=I$4),1,""))</f>
        <v/>
      </c>
      <c r="J79" s="30" t="str">
        <f aca="false">IF(OR($D79="",$E79=""),"",IF(AND($D79&lt;=J$4+4,$E79&gt;=J$4),1,""))</f>
        <v/>
      </c>
      <c r="K79" s="30" t="str">
        <f aca="false">IF(OR($D79="",$E79=""),"",IF(AND($D79&lt;=K$4+4,$E79&gt;=K$4),1,""))</f>
        <v/>
      </c>
      <c r="L79" s="30" t="str">
        <f aca="false">IF(OR($D79="",$E79=""),"",IF(AND($D79&lt;=L$4+4,$E79&gt;=L$4),1,""))</f>
        <v/>
      </c>
      <c r="M79" s="30" t="str">
        <f aca="false">IF(OR($D79="",$E79=""),"",IF(AND($D79&lt;=M$4+4,$E79&gt;=M$4),1,""))</f>
        <v/>
      </c>
      <c r="N79" s="30" t="str">
        <f aca="false">IF(OR($D79="",$E79=""),"",IF(AND($D79&lt;=N$4+4,$E79&gt;=N$4),1,""))</f>
        <v/>
      </c>
      <c r="O79" s="30" t="str">
        <f aca="false">IF(OR($D79="",$E79=""),"",IF(AND($D79&lt;=O$4+4,$E79&gt;=O$4),1,""))</f>
        <v/>
      </c>
      <c r="P79" s="30" t="str">
        <f aca="false">IF(OR($D79="",$E79=""),"",IF(AND($D79&lt;=P$4+4,$E79&gt;=P$4),1,""))</f>
        <v/>
      </c>
      <c r="Q79" s="30" t="str">
        <f aca="false">IF(OR($D79="",$E79=""),"",IF(AND($D79&lt;=Q$4+4,$E79&gt;=Q$4),1,""))</f>
        <v/>
      </c>
      <c r="R79" s="30" t="str">
        <f aca="false">IF(OR($D79="",$E79=""),"",IF(AND($D79&lt;=R$4+4,$E79&gt;=R$4),1,""))</f>
        <v/>
      </c>
      <c r="S79" s="30" t="str">
        <f aca="false">IF(OR($D79="",$E79=""),"",IF(AND($D79&lt;=S$4+4,$E79&gt;=S$4),1,""))</f>
        <v/>
      </c>
      <c r="T79" s="30" t="str">
        <f aca="false">IF(OR($D79="",$E79=""),"",IF(AND($D79&lt;=T$4+4,$E79&gt;=T$4),1,""))</f>
        <v/>
      </c>
      <c r="U79" s="30" t="str">
        <f aca="false">IF(OR($D79="",$E79=""),"",IF(AND($D79&lt;=U$4+4,$E79&gt;=U$4),1,""))</f>
        <v/>
      </c>
      <c r="V79" s="30" t="str">
        <f aca="false">IF(OR($D79="",$E79=""),"",IF(AND($D79&lt;=V$4+4,$E79&gt;=V$4),1,""))</f>
        <v/>
      </c>
      <c r="W79" s="30" t="str">
        <f aca="false">IF(OR($D79="",$E79=""),"",IF(AND($D79&lt;=W$4+4,$E79&gt;=W$4),1,""))</f>
        <v/>
      </c>
      <c r="X79" s="30" t="str">
        <f aca="false">IF(OR($D79="",$E79=""),"",IF(AND($D79&lt;=X$4+4,$E79&gt;=X$4),1,""))</f>
        <v/>
      </c>
      <c r="Y79" s="30" t="str">
        <f aca="false">IF(OR($D79="",$E79=""),"",IF(AND($D79&lt;=Y$4+4,$E79&gt;=Y$4),1,""))</f>
        <v/>
      </c>
      <c r="Z79" s="30" t="str">
        <f aca="false">IF(OR($D79="",$E79=""),"",IF(AND($D79&lt;=Z$4+4,$E79&gt;=Z$4),1,""))</f>
        <v/>
      </c>
      <c r="AA79" s="30" t="str">
        <f aca="false">IF(OR($D79="",$E79=""),"",IF(AND($D79&lt;=AA$4+4,$E79&gt;=AA$4),1,""))</f>
        <v/>
      </c>
      <c r="AB79" s="30" t="str">
        <f aca="false">IF(OR($D79="",$E79=""),"",IF(AND($D79&lt;=AB$4+4,$E79&gt;=AB$4),1,""))</f>
        <v/>
      </c>
      <c r="AC79" s="30" t="str">
        <f aca="false">IF(OR($D79="",$E79=""),"",IF(AND($D79&lt;=AC$4+4,$E79&gt;=AC$4),1,""))</f>
        <v/>
      </c>
      <c r="AD79" s="30" t="str">
        <f aca="false">IF(OR($D79="",$E79=""),"",IF(AND($D79&lt;=AD$4+4,$E79&gt;=AD$4),1,""))</f>
        <v/>
      </c>
      <c r="AE79" s="30" t="str">
        <f aca="false">IF(OR($D79="",$E79=""),"",IF(AND($D79&lt;=AE$4+4,$E79&gt;=AE$4),1,""))</f>
        <v/>
      </c>
    </row>
    <row r="80" customFormat="false" ht="15" hidden="false" customHeight="false" outlineLevel="0" collapsed="false">
      <c r="A80" s="28" t="n">
        <v>74</v>
      </c>
      <c r="B80" s="14" t="str">
        <f aca="false">IFERROR(INDEX(Tablero!$A$5:$A$104,MATCH($A80,Tablero!$J$5:$J$104,0))&amp;"","")</f>
        <v/>
      </c>
      <c r="C80" s="14" t="str">
        <f aca="false">IFERROR(INDEX(Tablero!$B$5:$B$104,MATCH($A80,Tablero!$J$5:$J$104,0))&amp;"","")</f>
        <v/>
      </c>
      <c r="D80" s="29" t="str">
        <f aca="false">IFERROR(INDEX(Tablero!$R$5:$R$104,MATCH($A80,Tablero!$J$5:$J$104,0)),"")</f>
        <v/>
      </c>
      <c r="E80" s="29" t="str">
        <f aca="false">IFERROR(INDEX(Tablero!$S$5:$S$104,MATCH($A80,Tablero!$J$5:$J$104,0)),"")</f>
        <v/>
      </c>
      <c r="F80" s="30" t="str">
        <f aca="false">IF(OR($D80="",$E80=""),"",IF(AND($D80&lt;=F$4+4,$E80&gt;=F$4),1,""))</f>
        <v/>
      </c>
      <c r="G80" s="30" t="str">
        <f aca="false">IF(OR($D80="",$E80=""),"",IF(AND($D80&lt;=G$4+4,$E80&gt;=G$4),1,""))</f>
        <v/>
      </c>
      <c r="H80" s="30" t="str">
        <f aca="false">IF(OR($D80="",$E80=""),"",IF(AND($D80&lt;=H$4+4,$E80&gt;=H$4),1,""))</f>
        <v/>
      </c>
      <c r="I80" s="30" t="str">
        <f aca="false">IF(OR($D80="",$E80=""),"",IF(AND($D80&lt;=I$4+4,$E80&gt;=I$4),1,""))</f>
        <v/>
      </c>
      <c r="J80" s="30" t="str">
        <f aca="false">IF(OR($D80="",$E80=""),"",IF(AND($D80&lt;=J$4+4,$E80&gt;=J$4),1,""))</f>
        <v/>
      </c>
      <c r="K80" s="30" t="str">
        <f aca="false">IF(OR($D80="",$E80=""),"",IF(AND($D80&lt;=K$4+4,$E80&gt;=K$4),1,""))</f>
        <v/>
      </c>
      <c r="L80" s="30" t="str">
        <f aca="false">IF(OR($D80="",$E80=""),"",IF(AND($D80&lt;=L$4+4,$E80&gt;=L$4),1,""))</f>
        <v/>
      </c>
      <c r="M80" s="30" t="str">
        <f aca="false">IF(OR($D80="",$E80=""),"",IF(AND($D80&lt;=M$4+4,$E80&gt;=M$4),1,""))</f>
        <v/>
      </c>
      <c r="N80" s="30" t="str">
        <f aca="false">IF(OR($D80="",$E80=""),"",IF(AND($D80&lt;=N$4+4,$E80&gt;=N$4),1,""))</f>
        <v/>
      </c>
      <c r="O80" s="30" t="str">
        <f aca="false">IF(OR($D80="",$E80=""),"",IF(AND($D80&lt;=O$4+4,$E80&gt;=O$4),1,""))</f>
        <v/>
      </c>
      <c r="P80" s="30" t="str">
        <f aca="false">IF(OR($D80="",$E80=""),"",IF(AND($D80&lt;=P$4+4,$E80&gt;=P$4),1,""))</f>
        <v/>
      </c>
      <c r="Q80" s="30" t="str">
        <f aca="false">IF(OR($D80="",$E80=""),"",IF(AND($D80&lt;=Q$4+4,$E80&gt;=Q$4),1,""))</f>
        <v/>
      </c>
      <c r="R80" s="30" t="str">
        <f aca="false">IF(OR($D80="",$E80=""),"",IF(AND($D80&lt;=R$4+4,$E80&gt;=R$4),1,""))</f>
        <v/>
      </c>
      <c r="S80" s="30" t="str">
        <f aca="false">IF(OR($D80="",$E80=""),"",IF(AND($D80&lt;=S$4+4,$E80&gt;=S$4),1,""))</f>
        <v/>
      </c>
      <c r="T80" s="30" t="str">
        <f aca="false">IF(OR($D80="",$E80=""),"",IF(AND($D80&lt;=T$4+4,$E80&gt;=T$4),1,""))</f>
        <v/>
      </c>
      <c r="U80" s="30" t="str">
        <f aca="false">IF(OR($D80="",$E80=""),"",IF(AND($D80&lt;=U$4+4,$E80&gt;=U$4),1,""))</f>
        <v/>
      </c>
      <c r="V80" s="30" t="str">
        <f aca="false">IF(OR($D80="",$E80=""),"",IF(AND($D80&lt;=V$4+4,$E80&gt;=V$4),1,""))</f>
        <v/>
      </c>
      <c r="W80" s="30" t="str">
        <f aca="false">IF(OR($D80="",$E80=""),"",IF(AND($D80&lt;=W$4+4,$E80&gt;=W$4),1,""))</f>
        <v/>
      </c>
      <c r="X80" s="30" t="str">
        <f aca="false">IF(OR($D80="",$E80=""),"",IF(AND($D80&lt;=X$4+4,$E80&gt;=X$4),1,""))</f>
        <v/>
      </c>
      <c r="Y80" s="30" t="str">
        <f aca="false">IF(OR($D80="",$E80=""),"",IF(AND($D80&lt;=Y$4+4,$E80&gt;=Y$4),1,""))</f>
        <v/>
      </c>
      <c r="Z80" s="30" t="str">
        <f aca="false">IF(OR($D80="",$E80=""),"",IF(AND($D80&lt;=Z$4+4,$E80&gt;=Z$4),1,""))</f>
        <v/>
      </c>
      <c r="AA80" s="30" t="str">
        <f aca="false">IF(OR($D80="",$E80=""),"",IF(AND($D80&lt;=AA$4+4,$E80&gt;=AA$4),1,""))</f>
        <v/>
      </c>
      <c r="AB80" s="30" t="str">
        <f aca="false">IF(OR($D80="",$E80=""),"",IF(AND($D80&lt;=AB$4+4,$E80&gt;=AB$4),1,""))</f>
        <v/>
      </c>
      <c r="AC80" s="30" t="str">
        <f aca="false">IF(OR($D80="",$E80=""),"",IF(AND($D80&lt;=AC$4+4,$E80&gt;=AC$4),1,""))</f>
        <v/>
      </c>
      <c r="AD80" s="30" t="str">
        <f aca="false">IF(OR($D80="",$E80=""),"",IF(AND($D80&lt;=AD$4+4,$E80&gt;=AD$4),1,""))</f>
        <v/>
      </c>
      <c r="AE80" s="30" t="str">
        <f aca="false">IF(OR($D80="",$E80=""),"",IF(AND($D80&lt;=AE$4+4,$E80&gt;=AE$4),1,""))</f>
        <v/>
      </c>
    </row>
    <row r="81" customFormat="false" ht="15" hidden="false" customHeight="false" outlineLevel="0" collapsed="false">
      <c r="A81" s="28" t="n">
        <v>75</v>
      </c>
      <c r="B81" s="14" t="str">
        <f aca="false">IFERROR(INDEX(Tablero!$A$5:$A$104,MATCH($A81,Tablero!$J$5:$J$104,0))&amp;"","")</f>
        <v/>
      </c>
      <c r="C81" s="14" t="str">
        <f aca="false">IFERROR(INDEX(Tablero!$B$5:$B$104,MATCH($A81,Tablero!$J$5:$J$104,0))&amp;"","")</f>
        <v/>
      </c>
      <c r="D81" s="29" t="str">
        <f aca="false">IFERROR(INDEX(Tablero!$R$5:$R$104,MATCH($A81,Tablero!$J$5:$J$104,0)),"")</f>
        <v/>
      </c>
      <c r="E81" s="29" t="str">
        <f aca="false">IFERROR(INDEX(Tablero!$S$5:$S$104,MATCH($A81,Tablero!$J$5:$J$104,0)),"")</f>
        <v/>
      </c>
      <c r="F81" s="30" t="str">
        <f aca="false">IF(OR($D81="",$E81=""),"",IF(AND($D81&lt;=F$4+4,$E81&gt;=F$4),1,""))</f>
        <v/>
      </c>
      <c r="G81" s="30" t="str">
        <f aca="false">IF(OR($D81="",$E81=""),"",IF(AND($D81&lt;=G$4+4,$E81&gt;=G$4),1,""))</f>
        <v/>
      </c>
      <c r="H81" s="30" t="str">
        <f aca="false">IF(OR($D81="",$E81=""),"",IF(AND($D81&lt;=H$4+4,$E81&gt;=H$4),1,""))</f>
        <v/>
      </c>
      <c r="I81" s="30" t="str">
        <f aca="false">IF(OR($D81="",$E81=""),"",IF(AND($D81&lt;=I$4+4,$E81&gt;=I$4),1,""))</f>
        <v/>
      </c>
      <c r="J81" s="30" t="str">
        <f aca="false">IF(OR($D81="",$E81=""),"",IF(AND($D81&lt;=J$4+4,$E81&gt;=J$4),1,""))</f>
        <v/>
      </c>
      <c r="K81" s="30" t="str">
        <f aca="false">IF(OR($D81="",$E81=""),"",IF(AND($D81&lt;=K$4+4,$E81&gt;=K$4),1,""))</f>
        <v/>
      </c>
      <c r="L81" s="30" t="str">
        <f aca="false">IF(OR($D81="",$E81=""),"",IF(AND($D81&lt;=L$4+4,$E81&gt;=L$4),1,""))</f>
        <v/>
      </c>
      <c r="M81" s="30" t="str">
        <f aca="false">IF(OR($D81="",$E81=""),"",IF(AND($D81&lt;=M$4+4,$E81&gt;=M$4),1,""))</f>
        <v/>
      </c>
      <c r="N81" s="30" t="str">
        <f aca="false">IF(OR($D81="",$E81=""),"",IF(AND($D81&lt;=N$4+4,$E81&gt;=N$4),1,""))</f>
        <v/>
      </c>
      <c r="O81" s="30" t="str">
        <f aca="false">IF(OR($D81="",$E81=""),"",IF(AND($D81&lt;=O$4+4,$E81&gt;=O$4),1,""))</f>
        <v/>
      </c>
      <c r="P81" s="30" t="str">
        <f aca="false">IF(OR($D81="",$E81=""),"",IF(AND($D81&lt;=P$4+4,$E81&gt;=P$4),1,""))</f>
        <v/>
      </c>
      <c r="Q81" s="30" t="str">
        <f aca="false">IF(OR($D81="",$E81=""),"",IF(AND($D81&lt;=Q$4+4,$E81&gt;=Q$4),1,""))</f>
        <v/>
      </c>
      <c r="R81" s="30" t="str">
        <f aca="false">IF(OR($D81="",$E81=""),"",IF(AND($D81&lt;=R$4+4,$E81&gt;=R$4),1,""))</f>
        <v/>
      </c>
      <c r="S81" s="30" t="str">
        <f aca="false">IF(OR($D81="",$E81=""),"",IF(AND($D81&lt;=S$4+4,$E81&gt;=S$4),1,""))</f>
        <v/>
      </c>
      <c r="T81" s="30" t="str">
        <f aca="false">IF(OR($D81="",$E81=""),"",IF(AND($D81&lt;=T$4+4,$E81&gt;=T$4),1,""))</f>
        <v/>
      </c>
      <c r="U81" s="30" t="str">
        <f aca="false">IF(OR($D81="",$E81=""),"",IF(AND($D81&lt;=U$4+4,$E81&gt;=U$4),1,""))</f>
        <v/>
      </c>
      <c r="V81" s="30" t="str">
        <f aca="false">IF(OR($D81="",$E81=""),"",IF(AND($D81&lt;=V$4+4,$E81&gt;=V$4),1,""))</f>
        <v/>
      </c>
      <c r="W81" s="30" t="str">
        <f aca="false">IF(OR($D81="",$E81=""),"",IF(AND($D81&lt;=W$4+4,$E81&gt;=W$4),1,""))</f>
        <v/>
      </c>
      <c r="X81" s="30" t="str">
        <f aca="false">IF(OR($D81="",$E81=""),"",IF(AND($D81&lt;=X$4+4,$E81&gt;=X$4),1,""))</f>
        <v/>
      </c>
      <c r="Y81" s="30" t="str">
        <f aca="false">IF(OR($D81="",$E81=""),"",IF(AND($D81&lt;=Y$4+4,$E81&gt;=Y$4),1,""))</f>
        <v/>
      </c>
      <c r="Z81" s="30" t="str">
        <f aca="false">IF(OR($D81="",$E81=""),"",IF(AND($D81&lt;=Z$4+4,$E81&gt;=Z$4),1,""))</f>
        <v/>
      </c>
      <c r="AA81" s="30" t="str">
        <f aca="false">IF(OR($D81="",$E81=""),"",IF(AND($D81&lt;=AA$4+4,$E81&gt;=AA$4),1,""))</f>
        <v/>
      </c>
      <c r="AB81" s="30" t="str">
        <f aca="false">IF(OR($D81="",$E81=""),"",IF(AND($D81&lt;=AB$4+4,$E81&gt;=AB$4),1,""))</f>
        <v/>
      </c>
      <c r="AC81" s="30" t="str">
        <f aca="false">IF(OR($D81="",$E81=""),"",IF(AND($D81&lt;=AC$4+4,$E81&gt;=AC$4),1,""))</f>
        <v/>
      </c>
      <c r="AD81" s="30" t="str">
        <f aca="false">IF(OR($D81="",$E81=""),"",IF(AND($D81&lt;=AD$4+4,$E81&gt;=AD$4),1,""))</f>
        <v/>
      </c>
      <c r="AE81" s="30" t="str">
        <f aca="false">IF(OR($D81="",$E81=""),"",IF(AND($D81&lt;=AE$4+4,$E81&gt;=AE$4),1,""))</f>
        <v/>
      </c>
    </row>
    <row r="82" customFormat="false" ht="15" hidden="false" customHeight="false" outlineLevel="0" collapsed="false">
      <c r="A82" s="28" t="n">
        <v>76</v>
      </c>
      <c r="B82" s="14" t="str">
        <f aca="false">IFERROR(INDEX(Tablero!$A$5:$A$104,MATCH($A82,Tablero!$J$5:$J$104,0))&amp;"","")</f>
        <v/>
      </c>
      <c r="C82" s="14" t="str">
        <f aca="false">IFERROR(INDEX(Tablero!$B$5:$B$104,MATCH($A82,Tablero!$J$5:$J$104,0))&amp;"","")</f>
        <v/>
      </c>
      <c r="D82" s="29" t="str">
        <f aca="false">IFERROR(INDEX(Tablero!$R$5:$R$104,MATCH($A82,Tablero!$J$5:$J$104,0)),"")</f>
        <v/>
      </c>
      <c r="E82" s="29" t="str">
        <f aca="false">IFERROR(INDEX(Tablero!$S$5:$S$104,MATCH($A82,Tablero!$J$5:$J$104,0)),"")</f>
        <v/>
      </c>
      <c r="F82" s="30" t="str">
        <f aca="false">IF(OR($D82="",$E82=""),"",IF(AND($D82&lt;=F$4+4,$E82&gt;=F$4),1,""))</f>
        <v/>
      </c>
      <c r="G82" s="30" t="str">
        <f aca="false">IF(OR($D82="",$E82=""),"",IF(AND($D82&lt;=G$4+4,$E82&gt;=G$4),1,""))</f>
        <v/>
      </c>
      <c r="H82" s="30" t="str">
        <f aca="false">IF(OR($D82="",$E82=""),"",IF(AND($D82&lt;=H$4+4,$E82&gt;=H$4),1,""))</f>
        <v/>
      </c>
      <c r="I82" s="30" t="str">
        <f aca="false">IF(OR($D82="",$E82=""),"",IF(AND($D82&lt;=I$4+4,$E82&gt;=I$4),1,""))</f>
        <v/>
      </c>
      <c r="J82" s="30" t="str">
        <f aca="false">IF(OR($D82="",$E82=""),"",IF(AND($D82&lt;=J$4+4,$E82&gt;=J$4),1,""))</f>
        <v/>
      </c>
      <c r="K82" s="30" t="str">
        <f aca="false">IF(OR($D82="",$E82=""),"",IF(AND($D82&lt;=K$4+4,$E82&gt;=K$4),1,""))</f>
        <v/>
      </c>
      <c r="L82" s="30" t="str">
        <f aca="false">IF(OR($D82="",$E82=""),"",IF(AND($D82&lt;=L$4+4,$E82&gt;=L$4),1,""))</f>
        <v/>
      </c>
      <c r="M82" s="30" t="str">
        <f aca="false">IF(OR($D82="",$E82=""),"",IF(AND($D82&lt;=M$4+4,$E82&gt;=M$4),1,""))</f>
        <v/>
      </c>
      <c r="N82" s="30" t="str">
        <f aca="false">IF(OR($D82="",$E82=""),"",IF(AND($D82&lt;=N$4+4,$E82&gt;=N$4),1,""))</f>
        <v/>
      </c>
      <c r="O82" s="30" t="str">
        <f aca="false">IF(OR($D82="",$E82=""),"",IF(AND($D82&lt;=O$4+4,$E82&gt;=O$4),1,""))</f>
        <v/>
      </c>
      <c r="P82" s="30" t="str">
        <f aca="false">IF(OR($D82="",$E82=""),"",IF(AND($D82&lt;=P$4+4,$E82&gt;=P$4),1,""))</f>
        <v/>
      </c>
      <c r="Q82" s="30" t="str">
        <f aca="false">IF(OR($D82="",$E82=""),"",IF(AND($D82&lt;=Q$4+4,$E82&gt;=Q$4),1,""))</f>
        <v/>
      </c>
      <c r="R82" s="30" t="str">
        <f aca="false">IF(OR($D82="",$E82=""),"",IF(AND($D82&lt;=R$4+4,$E82&gt;=R$4),1,""))</f>
        <v/>
      </c>
      <c r="S82" s="30" t="str">
        <f aca="false">IF(OR($D82="",$E82=""),"",IF(AND($D82&lt;=S$4+4,$E82&gt;=S$4),1,""))</f>
        <v/>
      </c>
      <c r="T82" s="30" t="str">
        <f aca="false">IF(OR($D82="",$E82=""),"",IF(AND($D82&lt;=T$4+4,$E82&gt;=T$4),1,""))</f>
        <v/>
      </c>
      <c r="U82" s="30" t="str">
        <f aca="false">IF(OR($D82="",$E82=""),"",IF(AND($D82&lt;=U$4+4,$E82&gt;=U$4),1,""))</f>
        <v/>
      </c>
      <c r="V82" s="30" t="str">
        <f aca="false">IF(OR($D82="",$E82=""),"",IF(AND($D82&lt;=V$4+4,$E82&gt;=V$4),1,""))</f>
        <v/>
      </c>
      <c r="W82" s="30" t="str">
        <f aca="false">IF(OR($D82="",$E82=""),"",IF(AND($D82&lt;=W$4+4,$E82&gt;=W$4),1,""))</f>
        <v/>
      </c>
      <c r="X82" s="30" t="str">
        <f aca="false">IF(OR($D82="",$E82=""),"",IF(AND($D82&lt;=X$4+4,$E82&gt;=X$4),1,""))</f>
        <v/>
      </c>
      <c r="Y82" s="30" t="str">
        <f aca="false">IF(OR($D82="",$E82=""),"",IF(AND($D82&lt;=Y$4+4,$E82&gt;=Y$4),1,""))</f>
        <v/>
      </c>
      <c r="Z82" s="30" t="str">
        <f aca="false">IF(OR($D82="",$E82=""),"",IF(AND($D82&lt;=Z$4+4,$E82&gt;=Z$4),1,""))</f>
        <v/>
      </c>
      <c r="AA82" s="30" t="str">
        <f aca="false">IF(OR($D82="",$E82=""),"",IF(AND($D82&lt;=AA$4+4,$E82&gt;=AA$4),1,""))</f>
        <v/>
      </c>
      <c r="AB82" s="30" t="str">
        <f aca="false">IF(OR($D82="",$E82=""),"",IF(AND($D82&lt;=AB$4+4,$E82&gt;=AB$4),1,""))</f>
        <v/>
      </c>
      <c r="AC82" s="30" t="str">
        <f aca="false">IF(OR($D82="",$E82=""),"",IF(AND($D82&lt;=AC$4+4,$E82&gt;=AC$4),1,""))</f>
        <v/>
      </c>
      <c r="AD82" s="30" t="str">
        <f aca="false">IF(OR($D82="",$E82=""),"",IF(AND($D82&lt;=AD$4+4,$E82&gt;=AD$4),1,""))</f>
        <v/>
      </c>
      <c r="AE82" s="30" t="str">
        <f aca="false">IF(OR($D82="",$E82=""),"",IF(AND($D82&lt;=AE$4+4,$E82&gt;=AE$4),1,""))</f>
        <v/>
      </c>
    </row>
    <row r="83" customFormat="false" ht="15" hidden="false" customHeight="false" outlineLevel="0" collapsed="false">
      <c r="A83" s="28" t="n">
        <v>77</v>
      </c>
      <c r="B83" s="14" t="str">
        <f aca="false">IFERROR(INDEX(Tablero!$A$5:$A$104,MATCH($A83,Tablero!$J$5:$J$104,0))&amp;"","")</f>
        <v/>
      </c>
      <c r="C83" s="14" t="str">
        <f aca="false">IFERROR(INDEX(Tablero!$B$5:$B$104,MATCH($A83,Tablero!$J$5:$J$104,0))&amp;"","")</f>
        <v/>
      </c>
      <c r="D83" s="29" t="str">
        <f aca="false">IFERROR(INDEX(Tablero!$R$5:$R$104,MATCH($A83,Tablero!$J$5:$J$104,0)),"")</f>
        <v/>
      </c>
      <c r="E83" s="29" t="str">
        <f aca="false">IFERROR(INDEX(Tablero!$S$5:$S$104,MATCH($A83,Tablero!$J$5:$J$104,0)),"")</f>
        <v/>
      </c>
      <c r="F83" s="30" t="str">
        <f aca="false">IF(OR($D83="",$E83=""),"",IF(AND($D83&lt;=F$4+4,$E83&gt;=F$4),1,""))</f>
        <v/>
      </c>
      <c r="G83" s="30" t="str">
        <f aca="false">IF(OR($D83="",$E83=""),"",IF(AND($D83&lt;=G$4+4,$E83&gt;=G$4),1,""))</f>
        <v/>
      </c>
      <c r="H83" s="30" t="str">
        <f aca="false">IF(OR($D83="",$E83=""),"",IF(AND($D83&lt;=H$4+4,$E83&gt;=H$4),1,""))</f>
        <v/>
      </c>
      <c r="I83" s="30" t="str">
        <f aca="false">IF(OR($D83="",$E83=""),"",IF(AND($D83&lt;=I$4+4,$E83&gt;=I$4),1,""))</f>
        <v/>
      </c>
      <c r="J83" s="30" t="str">
        <f aca="false">IF(OR($D83="",$E83=""),"",IF(AND($D83&lt;=J$4+4,$E83&gt;=J$4),1,""))</f>
        <v/>
      </c>
      <c r="K83" s="30" t="str">
        <f aca="false">IF(OR($D83="",$E83=""),"",IF(AND($D83&lt;=K$4+4,$E83&gt;=K$4),1,""))</f>
        <v/>
      </c>
      <c r="L83" s="30" t="str">
        <f aca="false">IF(OR($D83="",$E83=""),"",IF(AND($D83&lt;=L$4+4,$E83&gt;=L$4),1,""))</f>
        <v/>
      </c>
      <c r="M83" s="30" t="str">
        <f aca="false">IF(OR($D83="",$E83=""),"",IF(AND($D83&lt;=M$4+4,$E83&gt;=M$4),1,""))</f>
        <v/>
      </c>
      <c r="N83" s="30" t="str">
        <f aca="false">IF(OR($D83="",$E83=""),"",IF(AND($D83&lt;=N$4+4,$E83&gt;=N$4),1,""))</f>
        <v/>
      </c>
      <c r="O83" s="30" t="str">
        <f aca="false">IF(OR($D83="",$E83=""),"",IF(AND($D83&lt;=O$4+4,$E83&gt;=O$4),1,""))</f>
        <v/>
      </c>
      <c r="P83" s="30" t="str">
        <f aca="false">IF(OR($D83="",$E83=""),"",IF(AND($D83&lt;=P$4+4,$E83&gt;=P$4),1,""))</f>
        <v/>
      </c>
      <c r="Q83" s="30" t="str">
        <f aca="false">IF(OR($D83="",$E83=""),"",IF(AND($D83&lt;=Q$4+4,$E83&gt;=Q$4),1,""))</f>
        <v/>
      </c>
      <c r="R83" s="30" t="str">
        <f aca="false">IF(OR($D83="",$E83=""),"",IF(AND($D83&lt;=R$4+4,$E83&gt;=R$4),1,""))</f>
        <v/>
      </c>
      <c r="S83" s="30" t="str">
        <f aca="false">IF(OR($D83="",$E83=""),"",IF(AND($D83&lt;=S$4+4,$E83&gt;=S$4),1,""))</f>
        <v/>
      </c>
      <c r="T83" s="30" t="str">
        <f aca="false">IF(OR($D83="",$E83=""),"",IF(AND($D83&lt;=T$4+4,$E83&gt;=T$4),1,""))</f>
        <v/>
      </c>
      <c r="U83" s="30" t="str">
        <f aca="false">IF(OR($D83="",$E83=""),"",IF(AND($D83&lt;=U$4+4,$E83&gt;=U$4),1,""))</f>
        <v/>
      </c>
      <c r="V83" s="30" t="str">
        <f aca="false">IF(OR($D83="",$E83=""),"",IF(AND($D83&lt;=V$4+4,$E83&gt;=V$4),1,""))</f>
        <v/>
      </c>
      <c r="W83" s="30" t="str">
        <f aca="false">IF(OR($D83="",$E83=""),"",IF(AND($D83&lt;=W$4+4,$E83&gt;=W$4),1,""))</f>
        <v/>
      </c>
      <c r="X83" s="30" t="str">
        <f aca="false">IF(OR($D83="",$E83=""),"",IF(AND($D83&lt;=X$4+4,$E83&gt;=X$4),1,""))</f>
        <v/>
      </c>
      <c r="Y83" s="30" t="str">
        <f aca="false">IF(OR($D83="",$E83=""),"",IF(AND($D83&lt;=Y$4+4,$E83&gt;=Y$4),1,""))</f>
        <v/>
      </c>
      <c r="Z83" s="30" t="str">
        <f aca="false">IF(OR($D83="",$E83=""),"",IF(AND($D83&lt;=Z$4+4,$E83&gt;=Z$4),1,""))</f>
        <v/>
      </c>
      <c r="AA83" s="30" t="str">
        <f aca="false">IF(OR($D83="",$E83=""),"",IF(AND($D83&lt;=AA$4+4,$E83&gt;=AA$4),1,""))</f>
        <v/>
      </c>
      <c r="AB83" s="30" t="str">
        <f aca="false">IF(OR($D83="",$E83=""),"",IF(AND($D83&lt;=AB$4+4,$E83&gt;=AB$4),1,""))</f>
        <v/>
      </c>
      <c r="AC83" s="30" t="str">
        <f aca="false">IF(OR($D83="",$E83=""),"",IF(AND($D83&lt;=AC$4+4,$E83&gt;=AC$4),1,""))</f>
        <v/>
      </c>
      <c r="AD83" s="30" t="str">
        <f aca="false">IF(OR($D83="",$E83=""),"",IF(AND($D83&lt;=AD$4+4,$E83&gt;=AD$4),1,""))</f>
        <v/>
      </c>
      <c r="AE83" s="30" t="str">
        <f aca="false">IF(OR($D83="",$E83=""),"",IF(AND($D83&lt;=AE$4+4,$E83&gt;=AE$4),1,""))</f>
        <v/>
      </c>
    </row>
    <row r="84" customFormat="false" ht="15" hidden="false" customHeight="false" outlineLevel="0" collapsed="false">
      <c r="A84" s="28" t="n">
        <v>78</v>
      </c>
      <c r="B84" s="14" t="str">
        <f aca="false">IFERROR(INDEX(Tablero!$A$5:$A$104,MATCH($A84,Tablero!$J$5:$J$104,0))&amp;"","")</f>
        <v/>
      </c>
      <c r="C84" s="14" t="str">
        <f aca="false">IFERROR(INDEX(Tablero!$B$5:$B$104,MATCH($A84,Tablero!$J$5:$J$104,0))&amp;"","")</f>
        <v/>
      </c>
      <c r="D84" s="29" t="str">
        <f aca="false">IFERROR(INDEX(Tablero!$R$5:$R$104,MATCH($A84,Tablero!$J$5:$J$104,0)),"")</f>
        <v/>
      </c>
      <c r="E84" s="29" t="str">
        <f aca="false">IFERROR(INDEX(Tablero!$S$5:$S$104,MATCH($A84,Tablero!$J$5:$J$104,0)),"")</f>
        <v/>
      </c>
      <c r="F84" s="30" t="str">
        <f aca="false">IF(OR($D84="",$E84=""),"",IF(AND($D84&lt;=F$4+4,$E84&gt;=F$4),1,""))</f>
        <v/>
      </c>
      <c r="G84" s="30" t="str">
        <f aca="false">IF(OR($D84="",$E84=""),"",IF(AND($D84&lt;=G$4+4,$E84&gt;=G$4),1,""))</f>
        <v/>
      </c>
      <c r="H84" s="30" t="str">
        <f aca="false">IF(OR($D84="",$E84=""),"",IF(AND($D84&lt;=H$4+4,$E84&gt;=H$4),1,""))</f>
        <v/>
      </c>
      <c r="I84" s="30" t="str">
        <f aca="false">IF(OR($D84="",$E84=""),"",IF(AND($D84&lt;=I$4+4,$E84&gt;=I$4),1,""))</f>
        <v/>
      </c>
      <c r="J84" s="30" t="str">
        <f aca="false">IF(OR($D84="",$E84=""),"",IF(AND($D84&lt;=J$4+4,$E84&gt;=J$4),1,""))</f>
        <v/>
      </c>
      <c r="K84" s="30" t="str">
        <f aca="false">IF(OR($D84="",$E84=""),"",IF(AND($D84&lt;=K$4+4,$E84&gt;=K$4),1,""))</f>
        <v/>
      </c>
      <c r="L84" s="30" t="str">
        <f aca="false">IF(OR($D84="",$E84=""),"",IF(AND($D84&lt;=L$4+4,$E84&gt;=L$4),1,""))</f>
        <v/>
      </c>
      <c r="M84" s="30" t="str">
        <f aca="false">IF(OR($D84="",$E84=""),"",IF(AND($D84&lt;=M$4+4,$E84&gt;=M$4),1,""))</f>
        <v/>
      </c>
      <c r="N84" s="30" t="str">
        <f aca="false">IF(OR($D84="",$E84=""),"",IF(AND($D84&lt;=N$4+4,$E84&gt;=N$4),1,""))</f>
        <v/>
      </c>
      <c r="O84" s="30" t="str">
        <f aca="false">IF(OR($D84="",$E84=""),"",IF(AND($D84&lt;=O$4+4,$E84&gt;=O$4),1,""))</f>
        <v/>
      </c>
      <c r="P84" s="30" t="str">
        <f aca="false">IF(OR($D84="",$E84=""),"",IF(AND($D84&lt;=P$4+4,$E84&gt;=P$4),1,""))</f>
        <v/>
      </c>
      <c r="Q84" s="30" t="str">
        <f aca="false">IF(OR($D84="",$E84=""),"",IF(AND($D84&lt;=Q$4+4,$E84&gt;=Q$4),1,""))</f>
        <v/>
      </c>
      <c r="R84" s="30" t="str">
        <f aca="false">IF(OR($D84="",$E84=""),"",IF(AND($D84&lt;=R$4+4,$E84&gt;=R$4),1,""))</f>
        <v/>
      </c>
      <c r="S84" s="30" t="str">
        <f aca="false">IF(OR($D84="",$E84=""),"",IF(AND($D84&lt;=S$4+4,$E84&gt;=S$4),1,""))</f>
        <v/>
      </c>
      <c r="T84" s="30" t="str">
        <f aca="false">IF(OR($D84="",$E84=""),"",IF(AND($D84&lt;=T$4+4,$E84&gt;=T$4),1,""))</f>
        <v/>
      </c>
      <c r="U84" s="30" t="str">
        <f aca="false">IF(OR($D84="",$E84=""),"",IF(AND($D84&lt;=U$4+4,$E84&gt;=U$4),1,""))</f>
        <v/>
      </c>
      <c r="V84" s="30" t="str">
        <f aca="false">IF(OR($D84="",$E84=""),"",IF(AND($D84&lt;=V$4+4,$E84&gt;=V$4),1,""))</f>
        <v/>
      </c>
      <c r="W84" s="30" t="str">
        <f aca="false">IF(OR($D84="",$E84=""),"",IF(AND($D84&lt;=W$4+4,$E84&gt;=W$4),1,""))</f>
        <v/>
      </c>
      <c r="X84" s="30" t="str">
        <f aca="false">IF(OR($D84="",$E84=""),"",IF(AND($D84&lt;=X$4+4,$E84&gt;=X$4),1,""))</f>
        <v/>
      </c>
      <c r="Y84" s="30" t="str">
        <f aca="false">IF(OR($D84="",$E84=""),"",IF(AND($D84&lt;=Y$4+4,$E84&gt;=Y$4),1,""))</f>
        <v/>
      </c>
      <c r="Z84" s="30" t="str">
        <f aca="false">IF(OR($D84="",$E84=""),"",IF(AND($D84&lt;=Z$4+4,$E84&gt;=Z$4),1,""))</f>
        <v/>
      </c>
      <c r="AA84" s="30" t="str">
        <f aca="false">IF(OR($D84="",$E84=""),"",IF(AND($D84&lt;=AA$4+4,$E84&gt;=AA$4),1,""))</f>
        <v/>
      </c>
      <c r="AB84" s="30" t="str">
        <f aca="false">IF(OR($D84="",$E84=""),"",IF(AND($D84&lt;=AB$4+4,$E84&gt;=AB$4),1,""))</f>
        <v/>
      </c>
      <c r="AC84" s="30" t="str">
        <f aca="false">IF(OR($D84="",$E84=""),"",IF(AND($D84&lt;=AC$4+4,$E84&gt;=AC$4),1,""))</f>
        <v/>
      </c>
      <c r="AD84" s="30" t="str">
        <f aca="false">IF(OR($D84="",$E84=""),"",IF(AND($D84&lt;=AD$4+4,$E84&gt;=AD$4),1,""))</f>
        <v/>
      </c>
      <c r="AE84" s="30" t="str">
        <f aca="false">IF(OR($D84="",$E84=""),"",IF(AND($D84&lt;=AE$4+4,$E84&gt;=AE$4),1,""))</f>
        <v/>
      </c>
    </row>
    <row r="85" customFormat="false" ht="15" hidden="false" customHeight="false" outlineLevel="0" collapsed="false">
      <c r="A85" s="28" t="n">
        <v>79</v>
      </c>
      <c r="B85" s="14" t="str">
        <f aca="false">IFERROR(INDEX(Tablero!$A$5:$A$104,MATCH($A85,Tablero!$J$5:$J$104,0))&amp;"","")</f>
        <v/>
      </c>
      <c r="C85" s="14" t="str">
        <f aca="false">IFERROR(INDEX(Tablero!$B$5:$B$104,MATCH($A85,Tablero!$J$5:$J$104,0))&amp;"","")</f>
        <v/>
      </c>
      <c r="D85" s="29" t="str">
        <f aca="false">IFERROR(INDEX(Tablero!$R$5:$R$104,MATCH($A85,Tablero!$J$5:$J$104,0)),"")</f>
        <v/>
      </c>
      <c r="E85" s="29" t="str">
        <f aca="false">IFERROR(INDEX(Tablero!$S$5:$S$104,MATCH($A85,Tablero!$J$5:$J$104,0)),"")</f>
        <v/>
      </c>
      <c r="F85" s="30" t="str">
        <f aca="false">IF(OR($D85="",$E85=""),"",IF(AND($D85&lt;=F$4+4,$E85&gt;=F$4),1,""))</f>
        <v/>
      </c>
      <c r="G85" s="30" t="str">
        <f aca="false">IF(OR($D85="",$E85=""),"",IF(AND($D85&lt;=G$4+4,$E85&gt;=G$4),1,""))</f>
        <v/>
      </c>
      <c r="H85" s="30" t="str">
        <f aca="false">IF(OR($D85="",$E85=""),"",IF(AND($D85&lt;=H$4+4,$E85&gt;=H$4),1,""))</f>
        <v/>
      </c>
      <c r="I85" s="30" t="str">
        <f aca="false">IF(OR($D85="",$E85=""),"",IF(AND($D85&lt;=I$4+4,$E85&gt;=I$4),1,""))</f>
        <v/>
      </c>
      <c r="J85" s="30" t="str">
        <f aca="false">IF(OR($D85="",$E85=""),"",IF(AND($D85&lt;=J$4+4,$E85&gt;=J$4),1,""))</f>
        <v/>
      </c>
      <c r="K85" s="30" t="str">
        <f aca="false">IF(OR($D85="",$E85=""),"",IF(AND($D85&lt;=K$4+4,$E85&gt;=K$4),1,""))</f>
        <v/>
      </c>
      <c r="L85" s="30" t="str">
        <f aca="false">IF(OR($D85="",$E85=""),"",IF(AND($D85&lt;=L$4+4,$E85&gt;=L$4),1,""))</f>
        <v/>
      </c>
      <c r="M85" s="30" t="str">
        <f aca="false">IF(OR($D85="",$E85=""),"",IF(AND($D85&lt;=M$4+4,$E85&gt;=M$4),1,""))</f>
        <v/>
      </c>
      <c r="N85" s="30" t="str">
        <f aca="false">IF(OR($D85="",$E85=""),"",IF(AND($D85&lt;=N$4+4,$E85&gt;=N$4),1,""))</f>
        <v/>
      </c>
      <c r="O85" s="30" t="str">
        <f aca="false">IF(OR($D85="",$E85=""),"",IF(AND($D85&lt;=O$4+4,$E85&gt;=O$4),1,""))</f>
        <v/>
      </c>
      <c r="P85" s="30" t="str">
        <f aca="false">IF(OR($D85="",$E85=""),"",IF(AND($D85&lt;=P$4+4,$E85&gt;=P$4),1,""))</f>
        <v/>
      </c>
      <c r="Q85" s="30" t="str">
        <f aca="false">IF(OR($D85="",$E85=""),"",IF(AND($D85&lt;=Q$4+4,$E85&gt;=Q$4),1,""))</f>
        <v/>
      </c>
      <c r="R85" s="30" t="str">
        <f aca="false">IF(OR($D85="",$E85=""),"",IF(AND($D85&lt;=R$4+4,$E85&gt;=R$4),1,""))</f>
        <v/>
      </c>
      <c r="S85" s="30" t="str">
        <f aca="false">IF(OR($D85="",$E85=""),"",IF(AND($D85&lt;=S$4+4,$E85&gt;=S$4),1,""))</f>
        <v/>
      </c>
      <c r="T85" s="30" t="str">
        <f aca="false">IF(OR($D85="",$E85=""),"",IF(AND($D85&lt;=T$4+4,$E85&gt;=T$4),1,""))</f>
        <v/>
      </c>
      <c r="U85" s="30" t="str">
        <f aca="false">IF(OR($D85="",$E85=""),"",IF(AND($D85&lt;=U$4+4,$E85&gt;=U$4),1,""))</f>
        <v/>
      </c>
      <c r="V85" s="30" t="str">
        <f aca="false">IF(OR($D85="",$E85=""),"",IF(AND($D85&lt;=V$4+4,$E85&gt;=V$4),1,""))</f>
        <v/>
      </c>
      <c r="W85" s="30" t="str">
        <f aca="false">IF(OR($D85="",$E85=""),"",IF(AND($D85&lt;=W$4+4,$E85&gt;=W$4),1,""))</f>
        <v/>
      </c>
      <c r="X85" s="30" t="str">
        <f aca="false">IF(OR($D85="",$E85=""),"",IF(AND($D85&lt;=X$4+4,$E85&gt;=X$4),1,""))</f>
        <v/>
      </c>
      <c r="Y85" s="30" t="str">
        <f aca="false">IF(OR($D85="",$E85=""),"",IF(AND($D85&lt;=Y$4+4,$E85&gt;=Y$4),1,""))</f>
        <v/>
      </c>
      <c r="Z85" s="30" t="str">
        <f aca="false">IF(OR($D85="",$E85=""),"",IF(AND($D85&lt;=Z$4+4,$E85&gt;=Z$4),1,""))</f>
        <v/>
      </c>
      <c r="AA85" s="30" t="str">
        <f aca="false">IF(OR($D85="",$E85=""),"",IF(AND($D85&lt;=AA$4+4,$E85&gt;=AA$4),1,""))</f>
        <v/>
      </c>
      <c r="AB85" s="30" t="str">
        <f aca="false">IF(OR($D85="",$E85=""),"",IF(AND($D85&lt;=AB$4+4,$E85&gt;=AB$4),1,""))</f>
        <v/>
      </c>
      <c r="AC85" s="30" t="str">
        <f aca="false">IF(OR($D85="",$E85=""),"",IF(AND($D85&lt;=AC$4+4,$E85&gt;=AC$4),1,""))</f>
        <v/>
      </c>
      <c r="AD85" s="30" t="str">
        <f aca="false">IF(OR($D85="",$E85=""),"",IF(AND($D85&lt;=AD$4+4,$E85&gt;=AD$4),1,""))</f>
        <v/>
      </c>
      <c r="AE85" s="30" t="str">
        <f aca="false">IF(OR($D85="",$E85=""),"",IF(AND($D85&lt;=AE$4+4,$E85&gt;=AE$4),1,""))</f>
        <v/>
      </c>
    </row>
    <row r="86" customFormat="false" ht="15" hidden="false" customHeight="false" outlineLevel="0" collapsed="false">
      <c r="A86" s="28" t="n">
        <v>80</v>
      </c>
      <c r="B86" s="14" t="str">
        <f aca="false">IFERROR(INDEX(Tablero!$A$5:$A$104,MATCH($A86,Tablero!$J$5:$J$104,0))&amp;"","")</f>
        <v/>
      </c>
      <c r="C86" s="14" t="str">
        <f aca="false">IFERROR(INDEX(Tablero!$B$5:$B$104,MATCH($A86,Tablero!$J$5:$J$104,0))&amp;"","")</f>
        <v/>
      </c>
      <c r="D86" s="29" t="str">
        <f aca="false">IFERROR(INDEX(Tablero!$R$5:$R$104,MATCH($A86,Tablero!$J$5:$J$104,0)),"")</f>
        <v/>
      </c>
      <c r="E86" s="29" t="str">
        <f aca="false">IFERROR(INDEX(Tablero!$S$5:$S$104,MATCH($A86,Tablero!$J$5:$J$104,0)),"")</f>
        <v/>
      </c>
      <c r="F86" s="30" t="str">
        <f aca="false">IF(OR($D86="",$E86=""),"",IF(AND($D86&lt;=F$4+4,$E86&gt;=F$4),1,""))</f>
        <v/>
      </c>
      <c r="G86" s="30" t="str">
        <f aca="false">IF(OR($D86="",$E86=""),"",IF(AND($D86&lt;=G$4+4,$E86&gt;=G$4),1,""))</f>
        <v/>
      </c>
      <c r="H86" s="30" t="str">
        <f aca="false">IF(OR($D86="",$E86=""),"",IF(AND($D86&lt;=H$4+4,$E86&gt;=H$4),1,""))</f>
        <v/>
      </c>
      <c r="I86" s="30" t="str">
        <f aca="false">IF(OR($D86="",$E86=""),"",IF(AND($D86&lt;=I$4+4,$E86&gt;=I$4),1,""))</f>
        <v/>
      </c>
      <c r="J86" s="30" t="str">
        <f aca="false">IF(OR($D86="",$E86=""),"",IF(AND($D86&lt;=J$4+4,$E86&gt;=J$4),1,""))</f>
        <v/>
      </c>
      <c r="K86" s="30" t="str">
        <f aca="false">IF(OR($D86="",$E86=""),"",IF(AND($D86&lt;=K$4+4,$E86&gt;=K$4),1,""))</f>
        <v/>
      </c>
      <c r="L86" s="30" t="str">
        <f aca="false">IF(OR($D86="",$E86=""),"",IF(AND($D86&lt;=L$4+4,$E86&gt;=L$4),1,""))</f>
        <v/>
      </c>
      <c r="M86" s="30" t="str">
        <f aca="false">IF(OR($D86="",$E86=""),"",IF(AND($D86&lt;=M$4+4,$E86&gt;=M$4),1,""))</f>
        <v/>
      </c>
      <c r="N86" s="30" t="str">
        <f aca="false">IF(OR($D86="",$E86=""),"",IF(AND($D86&lt;=N$4+4,$E86&gt;=N$4),1,""))</f>
        <v/>
      </c>
      <c r="O86" s="30" t="str">
        <f aca="false">IF(OR($D86="",$E86=""),"",IF(AND($D86&lt;=O$4+4,$E86&gt;=O$4),1,""))</f>
        <v/>
      </c>
      <c r="P86" s="30" t="str">
        <f aca="false">IF(OR($D86="",$E86=""),"",IF(AND($D86&lt;=P$4+4,$E86&gt;=P$4),1,""))</f>
        <v/>
      </c>
      <c r="Q86" s="30" t="str">
        <f aca="false">IF(OR($D86="",$E86=""),"",IF(AND($D86&lt;=Q$4+4,$E86&gt;=Q$4),1,""))</f>
        <v/>
      </c>
      <c r="R86" s="30" t="str">
        <f aca="false">IF(OR($D86="",$E86=""),"",IF(AND($D86&lt;=R$4+4,$E86&gt;=R$4),1,""))</f>
        <v/>
      </c>
      <c r="S86" s="30" t="str">
        <f aca="false">IF(OR($D86="",$E86=""),"",IF(AND($D86&lt;=S$4+4,$E86&gt;=S$4),1,""))</f>
        <v/>
      </c>
      <c r="T86" s="30" t="str">
        <f aca="false">IF(OR($D86="",$E86=""),"",IF(AND($D86&lt;=T$4+4,$E86&gt;=T$4),1,""))</f>
        <v/>
      </c>
      <c r="U86" s="30" t="str">
        <f aca="false">IF(OR($D86="",$E86=""),"",IF(AND($D86&lt;=U$4+4,$E86&gt;=U$4),1,""))</f>
        <v/>
      </c>
      <c r="V86" s="30" t="str">
        <f aca="false">IF(OR($D86="",$E86=""),"",IF(AND($D86&lt;=V$4+4,$E86&gt;=V$4),1,""))</f>
        <v/>
      </c>
      <c r="W86" s="30" t="str">
        <f aca="false">IF(OR($D86="",$E86=""),"",IF(AND($D86&lt;=W$4+4,$E86&gt;=W$4),1,""))</f>
        <v/>
      </c>
      <c r="X86" s="30" t="str">
        <f aca="false">IF(OR($D86="",$E86=""),"",IF(AND($D86&lt;=X$4+4,$E86&gt;=X$4),1,""))</f>
        <v/>
      </c>
      <c r="Y86" s="30" t="str">
        <f aca="false">IF(OR($D86="",$E86=""),"",IF(AND($D86&lt;=Y$4+4,$E86&gt;=Y$4),1,""))</f>
        <v/>
      </c>
      <c r="Z86" s="30" t="str">
        <f aca="false">IF(OR($D86="",$E86=""),"",IF(AND($D86&lt;=Z$4+4,$E86&gt;=Z$4),1,""))</f>
        <v/>
      </c>
      <c r="AA86" s="30" t="str">
        <f aca="false">IF(OR($D86="",$E86=""),"",IF(AND($D86&lt;=AA$4+4,$E86&gt;=AA$4),1,""))</f>
        <v/>
      </c>
      <c r="AB86" s="30" t="str">
        <f aca="false">IF(OR($D86="",$E86=""),"",IF(AND($D86&lt;=AB$4+4,$E86&gt;=AB$4),1,""))</f>
        <v/>
      </c>
      <c r="AC86" s="30" t="str">
        <f aca="false">IF(OR($D86="",$E86=""),"",IF(AND($D86&lt;=AC$4+4,$E86&gt;=AC$4),1,""))</f>
        <v/>
      </c>
      <c r="AD86" s="30" t="str">
        <f aca="false">IF(OR($D86="",$E86=""),"",IF(AND($D86&lt;=AD$4+4,$E86&gt;=AD$4),1,""))</f>
        <v/>
      </c>
      <c r="AE86" s="30" t="str">
        <f aca="false">IF(OR($D86="",$E86=""),"",IF(AND($D86&lt;=AE$4+4,$E86&gt;=AE$4),1,""))</f>
        <v/>
      </c>
    </row>
    <row r="87" customFormat="false" ht="15" hidden="false" customHeight="false" outlineLevel="0" collapsed="false">
      <c r="A87" s="28" t="n">
        <v>81</v>
      </c>
      <c r="B87" s="14" t="str">
        <f aca="false">IFERROR(INDEX(Tablero!$A$5:$A$104,MATCH($A87,Tablero!$J$5:$J$104,0))&amp;"","")</f>
        <v/>
      </c>
      <c r="C87" s="14" t="str">
        <f aca="false">IFERROR(INDEX(Tablero!$B$5:$B$104,MATCH($A87,Tablero!$J$5:$J$104,0))&amp;"","")</f>
        <v/>
      </c>
      <c r="D87" s="29" t="str">
        <f aca="false">IFERROR(INDEX(Tablero!$R$5:$R$104,MATCH($A87,Tablero!$J$5:$J$104,0)),"")</f>
        <v/>
      </c>
      <c r="E87" s="29" t="str">
        <f aca="false">IFERROR(INDEX(Tablero!$S$5:$S$104,MATCH($A87,Tablero!$J$5:$J$104,0)),"")</f>
        <v/>
      </c>
      <c r="F87" s="30" t="str">
        <f aca="false">IF(OR($D87="",$E87=""),"",IF(AND($D87&lt;=F$4+4,$E87&gt;=F$4),1,""))</f>
        <v/>
      </c>
      <c r="G87" s="30" t="str">
        <f aca="false">IF(OR($D87="",$E87=""),"",IF(AND($D87&lt;=G$4+4,$E87&gt;=G$4),1,""))</f>
        <v/>
      </c>
      <c r="H87" s="30" t="str">
        <f aca="false">IF(OR($D87="",$E87=""),"",IF(AND($D87&lt;=H$4+4,$E87&gt;=H$4),1,""))</f>
        <v/>
      </c>
      <c r="I87" s="30" t="str">
        <f aca="false">IF(OR($D87="",$E87=""),"",IF(AND($D87&lt;=I$4+4,$E87&gt;=I$4),1,""))</f>
        <v/>
      </c>
      <c r="J87" s="30" t="str">
        <f aca="false">IF(OR($D87="",$E87=""),"",IF(AND($D87&lt;=J$4+4,$E87&gt;=J$4),1,""))</f>
        <v/>
      </c>
      <c r="K87" s="30" t="str">
        <f aca="false">IF(OR($D87="",$E87=""),"",IF(AND($D87&lt;=K$4+4,$E87&gt;=K$4),1,""))</f>
        <v/>
      </c>
      <c r="L87" s="30" t="str">
        <f aca="false">IF(OR($D87="",$E87=""),"",IF(AND($D87&lt;=L$4+4,$E87&gt;=L$4),1,""))</f>
        <v/>
      </c>
      <c r="M87" s="30" t="str">
        <f aca="false">IF(OR($D87="",$E87=""),"",IF(AND($D87&lt;=M$4+4,$E87&gt;=M$4),1,""))</f>
        <v/>
      </c>
      <c r="N87" s="30" t="str">
        <f aca="false">IF(OR($D87="",$E87=""),"",IF(AND($D87&lt;=N$4+4,$E87&gt;=N$4),1,""))</f>
        <v/>
      </c>
      <c r="O87" s="30" t="str">
        <f aca="false">IF(OR($D87="",$E87=""),"",IF(AND($D87&lt;=O$4+4,$E87&gt;=O$4),1,""))</f>
        <v/>
      </c>
      <c r="P87" s="30" t="str">
        <f aca="false">IF(OR($D87="",$E87=""),"",IF(AND($D87&lt;=P$4+4,$E87&gt;=P$4),1,""))</f>
        <v/>
      </c>
      <c r="Q87" s="30" t="str">
        <f aca="false">IF(OR($D87="",$E87=""),"",IF(AND($D87&lt;=Q$4+4,$E87&gt;=Q$4),1,""))</f>
        <v/>
      </c>
      <c r="R87" s="30" t="str">
        <f aca="false">IF(OR($D87="",$E87=""),"",IF(AND($D87&lt;=R$4+4,$E87&gt;=R$4),1,""))</f>
        <v/>
      </c>
      <c r="S87" s="30" t="str">
        <f aca="false">IF(OR($D87="",$E87=""),"",IF(AND($D87&lt;=S$4+4,$E87&gt;=S$4),1,""))</f>
        <v/>
      </c>
      <c r="T87" s="30" t="str">
        <f aca="false">IF(OR($D87="",$E87=""),"",IF(AND($D87&lt;=T$4+4,$E87&gt;=T$4),1,""))</f>
        <v/>
      </c>
      <c r="U87" s="30" t="str">
        <f aca="false">IF(OR($D87="",$E87=""),"",IF(AND($D87&lt;=U$4+4,$E87&gt;=U$4),1,""))</f>
        <v/>
      </c>
      <c r="V87" s="30" t="str">
        <f aca="false">IF(OR($D87="",$E87=""),"",IF(AND($D87&lt;=V$4+4,$E87&gt;=V$4),1,""))</f>
        <v/>
      </c>
      <c r="W87" s="30" t="str">
        <f aca="false">IF(OR($D87="",$E87=""),"",IF(AND($D87&lt;=W$4+4,$E87&gt;=W$4),1,""))</f>
        <v/>
      </c>
      <c r="X87" s="30" t="str">
        <f aca="false">IF(OR($D87="",$E87=""),"",IF(AND($D87&lt;=X$4+4,$E87&gt;=X$4),1,""))</f>
        <v/>
      </c>
      <c r="Y87" s="30" t="str">
        <f aca="false">IF(OR($D87="",$E87=""),"",IF(AND($D87&lt;=Y$4+4,$E87&gt;=Y$4),1,""))</f>
        <v/>
      </c>
      <c r="Z87" s="30" t="str">
        <f aca="false">IF(OR($D87="",$E87=""),"",IF(AND($D87&lt;=Z$4+4,$E87&gt;=Z$4),1,""))</f>
        <v/>
      </c>
      <c r="AA87" s="30" t="str">
        <f aca="false">IF(OR($D87="",$E87=""),"",IF(AND($D87&lt;=AA$4+4,$E87&gt;=AA$4),1,""))</f>
        <v/>
      </c>
      <c r="AB87" s="30" t="str">
        <f aca="false">IF(OR($D87="",$E87=""),"",IF(AND($D87&lt;=AB$4+4,$E87&gt;=AB$4),1,""))</f>
        <v/>
      </c>
      <c r="AC87" s="30" t="str">
        <f aca="false">IF(OR($D87="",$E87=""),"",IF(AND($D87&lt;=AC$4+4,$E87&gt;=AC$4),1,""))</f>
        <v/>
      </c>
      <c r="AD87" s="30" t="str">
        <f aca="false">IF(OR($D87="",$E87=""),"",IF(AND($D87&lt;=AD$4+4,$E87&gt;=AD$4),1,""))</f>
        <v/>
      </c>
      <c r="AE87" s="30" t="str">
        <f aca="false">IF(OR($D87="",$E87=""),"",IF(AND($D87&lt;=AE$4+4,$E87&gt;=AE$4),1,""))</f>
        <v/>
      </c>
    </row>
    <row r="88" customFormat="false" ht="15" hidden="false" customHeight="false" outlineLevel="0" collapsed="false">
      <c r="A88" s="28" t="n">
        <v>82</v>
      </c>
      <c r="B88" s="14" t="str">
        <f aca="false">IFERROR(INDEX(Tablero!$A$5:$A$104,MATCH($A88,Tablero!$J$5:$J$104,0))&amp;"","")</f>
        <v/>
      </c>
      <c r="C88" s="14" t="str">
        <f aca="false">IFERROR(INDEX(Tablero!$B$5:$B$104,MATCH($A88,Tablero!$J$5:$J$104,0))&amp;"","")</f>
        <v/>
      </c>
      <c r="D88" s="29" t="str">
        <f aca="false">IFERROR(INDEX(Tablero!$R$5:$R$104,MATCH($A88,Tablero!$J$5:$J$104,0)),"")</f>
        <v/>
      </c>
      <c r="E88" s="29" t="str">
        <f aca="false">IFERROR(INDEX(Tablero!$S$5:$S$104,MATCH($A88,Tablero!$J$5:$J$104,0)),"")</f>
        <v/>
      </c>
      <c r="F88" s="30" t="str">
        <f aca="false">IF(OR($D88="",$E88=""),"",IF(AND($D88&lt;=F$4+4,$E88&gt;=F$4),1,""))</f>
        <v/>
      </c>
      <c r="G88" s="30" t="str">
        <f aca="false">IF(OR($D88="",$E88=""),"",IF(AND($D88&lt;=G$4+4,$E88&gt;=G$4),1,""))</f>
        <v/>
      </c>
      <c r="H88" s="30" t="str">
        <f aca="false">IF(OR($D88="",$E88=""),"",IF(AND($D88&lt;=H$4+4,$E88&gt;=H$4),1,""))</f>
        <v/>
      </c>
      <c r="I88" s="30" t="str">
        <f aca="false">IF(OR($D88="",$E88=""),"",IF(AND($D88&lt;=I$4+4,$E88&gt;=I$4),1,""))</f>
        <v/>
      </c>
      <c r="J88" s="30" t="str">
        <f aca="false">IF(OR($D88="",$E88=""),"",IF(AND($D88&lt;=J$4+4,$E88&gt;=J$4),1,""))</f>
        <v/>
      </c>
      <c r="K88" s="30" t="str">
        <f aca="false">IF(OR($D88="",$E88=""),"",IF(AND($D88&lt;=K$4+4,$E88&gt;=K$4),1,""))</f>
        <v/>
      </c>
      <c r="L88" s="30" t="str">
        <f aca="false">IF(OR($D88="",$E88=""),"",IF(AND($D88&lt;=L$4+4,$E88&gt;=L$4),1,""))</f>
        <v/>
      </c>
      <c r="M88" s="30" t="str">
        <f aca="false">IF(OR($D88="",$E88=""),"",IF(AND($D88&lt;=M$4+4,$E88&gt;=M$4),1,""))</f>
        <v/>
      </c>
      <c r="N88" s="30" t="str">
        <f aca="false">IF(OR($D88="",$E88=""),"",IF(AND($D88&lt;=N$4+4,$E88&gt;=N$4),1,""))</f>
        <v/>
      </c>
      <c r="O88" s="30" t="str">
        <f aca="false">IF(OR($D88="",$E88=""),"",IF(AND($D88&lt;=O$4+4,$E88&gt;=O$4),1,""))</f>
        <v/>
      </c>
      <c r="P88" s="30" t="str">
        <f aca="false">IF(OR($D88="",$E88=""),"",IF(AND($D88&lt;=P$4+4,$E88&gt;=P$4),1,""))</f>
        <v/>
      </c>
      <c r="Q88" s="30" t="str">
        <f aca="false">IF(OR($D88="",$E88=""),"",IF(AND($D88&lt;=Q$4+4,$E88&gt;=Q$4),1,""))</f>
        <v/>
      </c>
      <c r="R88" s="30" t="str">
        <f aca="false">IF(OR($D88="",$E88=""),"",IF(AND($D88&lt;=R$4+4,$E88&gt;=R$4),1,""))</f>
        <v/>
      </c>
      <c r="S88" s="30" t="str">
        <f aca="false">IF(OR($D88="",$E88=""),"",IF(AND($D88&lt;=S$4+4,$E88&gt;=S$4),1,""))</f>
        <v/>
      </c>
      <c r="T88" s="30" t="str">
        <f aca="false">IF(OR($D88="",$E88=""),"",IF(AND($D88&lt;=T$4+4,$E88&gt;=T$4),1,""))</f>
        <v/>
      </c>
      <c r="U88" s="30" t="str">
        <f aca="false">IF(OR($D88="",$E88=""),"",IF(AND($D88&lt;=U$4+4,$E88&gt;=U$4),1,""))</f>
        <v/>
      </c>
      <c r="V88" s="30" t="str">
        <f aca="false">IF(OR($D88="",$E88=""),"",IF(AND($D88&lt;=V$4+4,$E88&gt;=V$4),1,""))</f>
        <v/>
      </c>
      <c r="W88" s="30" t="str">
        <f aca="false">IF(OR($D88="",$E88=""),"",IF(AND($D88&lt;=W$4+4,$E88&gt;=W$4),1,""))</f>
        <v/>
      </c>
      <c r="X88" s="30" t="str">
        <f aca="false">IF(OR($D88="",$E88=""),"",IF(AND($D88&lt;=X$4+4,$E88&gt;=X$4),1,""))</f>
        <v/>
      </c>
      <c r="Y88" s="30" t="str">
        <f aca="false">IF(OR($D88="",$E88=""),"",IF(AND($D88&lt;=Y$4+4,$E88&gt;=Y$4),1,""))</f>
        <v/>
      </c>
      <c r="Z88" s="30" t="str">
        <f aca="false">IF(OR($D88="",$E88=""),"",IF(AND($D88&lt;=Z$4+4,$E88&gt;=Z$4),1,""))</f>
        <v/>
      </c>
      <c r="AA88" s="30" t="str">
        <f aca="false">IF(OR($D88="",$E88=""),"",IF(AND($D88&lt;=AA$4+4,$E88&gt;=AA$4),1,""))</f>
        <v/>
      </c>
      <c r="AB88" s="30" t="str">
        <f aca="false">IF(OR($D88="",$E88=""),"",IF(AND($D88&lt;=AB$4+4,$E88&gt;=AB$4),1,""))</f>
        <v/>
      </c>
      <c r="AC88" s="30" t="str">
        <f aca="false">IF(OR($D88="",$E88=""),"",IF(AND($D88&lt;=AC$4+4,$E88&gt;=AC$4),1,""))</f>
        <v/>
      </c>
      <c r="AD88" s="30" t="str">
        <f aca="false">IF(OR($D88="",$E88=""),"",IF(AND($D88&lt;=AD$4+4,$E88&gt;=AD$4),1,""))</f>
        <v/>
      </c>
      <c r="AE88" s="30" t="str">
        <f aca="false">IF(OR($D88="",$E88=""),"",IF(AND($D88&lt;=AE$4+4,$E88&gt;=AE$4),1,""))</f>
        <v/>
      </c>
    </row>
    <row r="89" customFormat="false" ht="15" hidden="false" customHeight="false" outlineLevel="0" collapsed="false">
      <c r="A89" s="28" t="n">
        <v>83</v>
      </c>
      <c r="B89" s="14" t="str">
        <f aca="false">IFERROR(INDEX(Tablero!$A$5:$A$104,MATCH($A89,Tablero!$J$5:$J$104,0))&amp;"","")</f>
        <v/>
      </c>
      <c r="C89" s="14" t="str">
        <f aca="false">IFERROR(INDEX(Tablero!$B$5:$B$104,MATCH($A89,Tablero!$J$5:$J$104,0))&amp;"","")</f>
        <v/>
      </c>
      <c r="D89" s="29" t="str">
        <f aca="false">IFERROR(INDEX(Tablero!$R$5:$R$104,MATCH($A89,Tablero!$J$5:$J$104,0)),"")</f>
        <v/>
      </c>
      <c r="E89" s="29" t="str">
        <f aca="false">IFERROR(INDEX(Tablero!$S$5:$S$104,MATCH($A89,Tablero!$J$5:$J$104,0)),"")</f>
        <v/>
      </c>
      <c r="F89" s="30" t="str">
        <f aca="false">IF(OR($D89="",$E89=""),"",IF(AND($D89&lt;=F$4+4,$E89&gt;=F$4),1,""))</f>
        <v/>
      </c>
      <c r="G89" s="30" t="str">
        <f aca="false">IF(OR($D89="",$E89=""),"",IF(AND($D89&lt;=G$4+4,$E89&gt;=G$4),1,""))</f>
        <v/>
      </c>
      <c r="H89" s="30" t="str">
        <f aca="false">IF(OR($D89="",$E89=""),"",IF(AND($D89&lt;=H$4+4,$E89&gt;=H$4),1,""))</f>
        <v/>
      </c>
      <c r="I89" s="30" t="str">
        <f aca="false">IF(OR($D89="",$E89=""),"",IF(AND($D89&lt;=I$4+4,$E89&gt;=I$4),1,""))</f>
        <v/>
      </c>
      <c r="J89" s="30" t="str">
        <f aca="false">IF(OR($D89="",$E89=""),"",IF(AND($D89&lt;=J$4+4,$E89&gt;=J$4),1,""))</f>
        <v/>
      </c>
      <c r="K89" s="30" t="str">
        <f aca="false">IF(OR($D89="",$E89=""),"",IF(AND($D89&lt;=K$4+4,$E89&gt;=K$4),1,""))</f>
        <v/>
      </c>
      <c r="L89" s="30" t="str">
        <f aca="false">IF(OR($D89="",$E89=""),"",IF(AND($D89&lt;=L$4+4,$E89&gt;=L$4),1,""))</f>
        <v/>
      </c>
      <c r="M89" s="30" t="str">
        <f aca="false">IF(OR($D89="",$E89=""),"",IF(AND($D89&lt;=M$4+4,$E89&gt;=M$4),1,""))</f>
        <v/>
      </c>
      <c r="N89" s="30" t="str">
        <f aca="false">IF(OR($D89="",$E89=""),"",IF(AND($D89&lt;=N$4+4,$E89&gt;=N$4),1,""))</f>
        <v/>
      </c>
      <c r="O89" s="30" t="str">
        <f aca="false">IF(OR($D89="",$E89=""),"",IF(AND($D89&lt;=O$4+4,$E89&gt;=O$4),1,""))</f>
        <v/>
      </c>
      <c r="P89" s="30" t="str">
        <f aca="false">IF(OR($D89="",$E89=""),"",IF(AND($D89&lt;=P$4+4,$E89&gt;=P$4),1,""))</f>
        <v/>
      </c>
      <c r="Q89" s="30" t="str">
        <f aca="false">IF(OR($D89="",$E89=""),"",IF(AND($D89&lt;=Q$4+4,$E89&gt;=Q$4),1,""))</f>
        <v/>
      </c>
      <c r="R89" s="30" t="str">
        <f aca="false">IF(OR($D89="",$E89=""),"",IF(AND($D89&lt;=R$4+4,$E89&gt;=R$4),1,""))</f>
        <v/>
      </c>
      <c r="S89" s="30" t="str">
        <f aca="false">IF(OR($D89="",$E89=""),"",IF(AND($D89&lt;=S$4+4,$E89&gt;=S$4),1,""))</f>
        <v/>
      </c>
      <c r="T89" s="30" t="str">
        <f aca="false">IF(OR($D89="",$E89=""),"",IF(AND($D89&lt;=T$4+4,$E89&gt;=T$4),1,""))</f>
        <v/>
      </c>
      <c r="U89" s="30" t="str">
        <f aca="false">IF(OR($D89="",$E89=""),"",IF(AND($D89&lt;=U$4+4,$E89&gt;=U$4),1,""))</f>
        <v/>
      </c>
      <c r="V89" s="30" t="str">
        <f aca="false">IF(OR($D89="",$E89=""),"",IF(AND($D89&lt;=V$4+4,$E89&gt;=V$4),1,""))</f>
        <v/>
      </c>
      <c r="W89" s="30" t="str">
        <f aca="false">IF(OR($D89="",$E89=""),"",IF(AND($D89&lt;=W$4+4,$E89&gt;=W$4),1,""))</f>
        <v/>
      </c>
      <c r="X89" s="30" t="str">
        <f aca="false">IF(OR($D89="",$E89=""),"",IF(AND($D89&lt;=X$4+4,$E89&gt;=X$4),1,""))</f>
        <v/>
      </c>
      <c r="Y89" s="30" t="str">
        <f aca="false">IF(OR($D89="",$E89=""),"",IF(AND($D89&lt;=Y$4+4,$E89&gt;=Y$4),1,""))</f>
        <v/>
      </c>
      <c r="Z89" s="30" t="str">
        <f aca="false">IF(OR($D89="",$E89=""),"",IF(AND($D89&lt;=Z$4+4,$E89&gt;=Z$4),1,""))</f>
        <v/>
      </c>
      <c r="AA89" s="30" t="str">
        <f aca="false">IF(OR($D89="",$E89=""),"",IF(AND($D89&lt;=AA$4+4,$E89&gt;=AA$4),1,""))</f>
        <v/>
      </c>
      <c r="AB89" s="30" t="str">
        <f aca="false">IF(OR($D89="",$E89=""),"",IF(AND($D89&lt;=AB$4+4,$E89&gt;=AB$4),1,""))</f>
        <v/>
      </c>
      <c r="AC89" s="30" t="str">
        <f aca="false">IF(OR($D89="",$E89=""),"",IF(AND($D89&lt;=AC$4+4,$E89&gt;=AC$4),1,""))</f>
        <v/>
      </c>
      <c r="AD89" s="30" t="str">
        <f aca="false">IF(OR($D89="",$E89=""),"",IF(AND($D89&lt;=AD$4+4,$E89&gt;=AD$4),1,""))</f>
        <v/>
      </c>
      <c r="AE89" s="30" t="str">
        <f aca="false">IF(OR($D89="",$E89=""),"",IF(AND($D89&lt;=AE$4+4,$E89&gt;=AE$4),1,""))</f>
        <v/>
      </c>
    </row>
    <row r="90" customFormat="false" ht="15" hidden="false" customHeight="false" outlineLevel="0" collapsed="false">
      <c r="A90" s="28" t="n">
        <v>84</v>
      </c>
      <c r="B90" s="14" t="str">
        <f aca="false">IFERROR(INDEX(Tablero!$A$5:$A$104,MATCH($A90,Tablero!$J$5:$J$104,0))&amp;"","")</f>
        <v/>
      </c>
      <c r="C90" s="14" t="str">
        <f aca="false">IFERROR(INDEX(Tablero!$B$5:$B$104,MATCH($A90,Tablero!$J$5:$J$104,0))&amp;"","")</f>
        <v/>
      </c>
      <c r="D90" s="29" t="str">
        <f aca="false">IFERROR(INDEX(Tablero!$R$5:$R$104,MATCH($A90,Tablero!$J$5:$J$104,0)),"")</f>
        <v/>
      </c>
      <c r="E90" s="29" t="str">
        <f aca="false">IFERROR(INDEX(Tablero!$S$5:$S$104,MATCH($A90,Tablero!$J$5:$J$104,0)),"")</f>
        <v/>
      </c>
      <c r="F90" s="30" t="str">
        <f aca="false">IF(OR($D90="",$E90=""),"",IF(AND($D90&lt;=F$4+4,$E90&gt;=F$4),1,""))</f>
        <v/>
      </c>
      <c r="G90" s="30" t="str">
        <f aca="false">IF(OR($D90="",$E90=""),"",IF(AND($D90&lt;=G$4+4,$E90&gt;=G$4),1,""))</f>
        <v/>
      </c>
      <c r="H90" s="30" t="str">
        <f aca="false">IF(OR($D90="",$E90=""),"",IF(AND($D90&lt;=H$4+4,$E90&gt;=H$4),1,""))</f>
        <v/>
      </c>
      <c r="I90" s="30" t="str">
        <f aca="false">IF(OR($D90="",$E90=""),"",IF(AND($D90&lt;=I$4+4,$E90&gt;=I$4),1,""))</f>
        <v/>
      </c>
      <c r="J90" s="30" t="str">
        <f aca="false">IF(OR($D90="",$E90=""),"",IF(AND($D90&lt;=J$4+4,$E90&gt;=J$4),1,""))</f>
        <v/>
      </c>
      <c r="K90" s="30" t="str">
        <f aca="false">IF(OR($D90="",$E90=""),"",IF(AND($D90&lt;=K$4+4,$E90&gt;=K$4),1,""))</f>
        <v/>
      </c>
      <c r="L90" s="30" t="str">
        <f aca="false">IF(OR($D90="",$E90=""),"",IF(AND($D90&lt;=L$4+4,$E90&gt;=L$4),1,""))</f>
        <v/>
      </c>
      <c r="M90" s="30" t="str">
        <f aca="false">IF(OR($D90="",$E90=""),"",IF(AND($D90&lt;=M$4+4,$E90&gt;=M$4),1,""))</f>
        <v/>
      </c>
      <c r="N90" s="30" t="str">
        <f aca="false">IF(OR($D90="",$E90=""),"",IF(AND($D90&lt;=N$4+4,$E90&gt;=N$4),1,""))</f>
        <v/>
      </c>
      <c r="O90" s="30" t="str">
        <f aca="false">IF(OR($D90="",$E90=""),"",IF(AND($D90&lt;=O$4+4,$E90&gt;=O$4),1,""))</f>
        <v/>
      </c>
      <c r="P90" s="30" t="str">
        <f aca="false">IF(OR($D90="",$E90=""),"",IF(AND($D90&lt;=P$4+4,$E90&gt;=P$4),1,""))</f>
        <v/>
      </c>
      <c r="Q90" s="30" t="str">
        <f aca="false">IF(OR($D90="",$E90=""),"",IF(AND($D90&lt;=Q$4+4,$E90&gt;=Q$4),1,""))</f>
        <v/>
      </c>
      <c r="R90" s="30" t="str">
        <f aca="false">IF(OR($D90="",$E90=""),"",IF(AND($D90&lt;=R$4+4,$E90&gt;=R$4),1,""))</f>
        <v/>
      </c>
      <c r="S90" s="30" t="str">
        <f aca="false">IF(OR($D90="",$E90=""),"",IF(AND($D90&lt;=S$4+4,$E90&gt;=S$4),1,""))</f>
        <v/>
      </c>
      <c r="T90" s="30" t="str">
        <f aca="false">IF(OR($D90="",$E90=""),"",IF(AND($D90&lt;=T$4+4,$E90&gt;=T$4),1,""))</f>
        <v/>
      </c>
      <c r="U90" s="30" t="str">
        <f aca="false">IF(OR($D90="",$E90=""),"",IF(AND($D90&lt;=U$4+4,$E90&gt;=U$4),1,""))</f>
        <v/>
      </c>
      <c r="V90" s="30" t="str">
        <f aca="false">IF(OR($D90="",$E90=""),"",IF(AND($D90&lt;=V$4+4,$E90&gt;=V$4),1,""))</f>
        <v/>
      </c>
      <c r="W90" s="30" t="str">
        <f aca="false">IF(OR($D90="",$E90=""),"",IF(AND($D90&lt;=W$4+4,$E90&gt;=W$4),1,""))</f>
        <v/>
      </c>
      <c r="X90" s="30" t="str">
        <f aca="false">IF(OR($D90="",$E90=""),"",IF(AND($D90&lt;=X$4+4,$E90&gt;=X$4),1,""))</f>
        <v/>
      </c>
      <c r="Y90" s="30" t="str">
        <f aca="false">IF(OR($D90="",$E90=""),"",IF(AND($D90&lt;=Y$4+4,$E90&gt;=Y$4),1,""))</f>
        <v/>
      </c>
      <c r="Z90" s="30" t="str">
        <f aca="false">IF(OR($D90="",$E90=""),"",IF(AND($D90&lt;=Z$4+4,$E90&gt;=Z$4),1,""))</f>
        <v/>
      </c>
      <c r="AA90" s="30" t="str">
        <f aca="false">IF(OR($D90="",$E90=""),"",IF(AND($D90&lt;=AA$4+4,$E90&gt;=AA$4),1,""))</f>
        <v/>
      </c>
      <c r="AB90" s="30" t="str">
        <f aca="false">IF(OR($D90="",$E90=""),"",IF(AND($D90&lt;=AB$4+4,$E90&gt;=AB$4),1,""))</f>
        <v/>
      </c>
      <c r="AC90" s="30" t="str">
        <f aca="false">IF(OR($D90="",$E90=""),"",IF(AND($D90&lt;=AC$4+4,$E90&gt;=AC$4),1,""))</f>
        <v/>
      </c>
      <c r="AD90" s="30" t="str">
        <f aca="false">IF(OR($D90="",$E90=""),"",IF(AND($D90&lt;=AD$4+4,$E90&gt;=AD$4),1,""))</f>
        <v/>
      </c>
      <c r="AE90" s="30" t="str">
        <f aca="false">IF(OR($D90="",$E90=""),"",IF(AND($D90&lt;=AE$4+4,$E90&gt;=AE$4),1,""))</f>
        <v/>
      </c>
    </row>
    <row r="91" customFormat="false" ht="15" hidden="false" customHeight="false" outlineLevel="0" collapsed="false">
      <c r="A91" s="28" t="n">
        <v>85</v>
      </c>
      <c r="B91" s="14" t="str">
        <f aca="false">IFERROR(INDEX(Tablero!$A$5:$A$104,MATCH($A91,Tablero!$J$5:$J$104,0))&amp;"","")</f>
        <v/>
      </c>
      <c r="C91" s="14" t="str">
        <f aca="false">IFERROR(INDEX(Tablero!$B$5:$B$104,MATCH($A91,Tablero!$J$5:$J$104,0))&amp;"","")</f>
        <v/>
      </c>
      <c r="D91" s="29" t="str">
        <f aca="false">IFERROR(INDEX(Tablero!$R$5:$R$104,MATCH($A91,Tablero!$J$5:$J$104,0)),"")</f>
        <v/>
      </c>
      <c r="E91" s="29" t="str">
        <f aca="false">IFERROR(INDEX(Tablero!$S$5:$S$104,MATCH($A91,Tablero!$J$5:$J$104,0)),"")</f>
        <v/>
      </c>
      <c r="F91" s="30" t="str">
        <f aca="false">IF(OR($D91="",$E91=""),"",IF(AND($D91&lt;=F$4+4,$E91&gt;=F$4),1,""))</f>
        <v/>
      </c>
      <c r="G91" s="30" t="str">
        <f aca="false">IF(OR($D91="",$E91=""),"",IF(AND($D91&lt;=G$4+4,$E91&gt;=G$4),1,""))</f>
        <v/>
      </c>
      <c r="H91" s="30" t="str">
        <f aca="false">IF(OR($D91="",$E91=""),"",IF(AND($D91&lt;=H$4+4,$E91&gt;=H$4),1,""))</f>
        <v/>
      </c>
      <c r="I91" s="30" t="str">
        <f aca="false">IF(OR($D91="",$E91=""),"",IF(AND($D91&lt;=I$4+4,$E91&gt;=I$4),1,""))</f>
        <v/>
      </c>
      <c r="J91" s="30" t="str">
        <f aca="false">IF(OR($D91="",$E91=""),"",IF(AND($D91&lt;=J$4+4,$E91&gt;=J$4),1,""))</f>
        <v/>
      </c>
      <c r="K91" s="30" t="str">
        <f aca="false">IF(OR($D91="",$E91=""),"",IF(AND($D91&lt;=K$4+4,$E91&gt;=K$4),1,""))</f>
        <v/>
      </c>
      <c r="L91" s="30" t="str">
        <f aca="false">IF(OR($D91="",$E91=""),"",IF(AND($D91&lt;=L$4+4,$E91&gt;=L$4),1,""))</f>
        <v/>
      </c>
      <c r="M91" s="30" t="str">
        <f aca="false">IF(OR($D91="",$E91=""),"",IF(AND($D91&lt;=M$4+4,$E91&gt;=M$4),1,""))</f>
        <v/>
      </c>
      <c r="N91" s="30" t="str">
        <f aca="false">IF(OR($D91="",$E91=""),"",IF(AND($D91&lt;=N$4+4,$E91&gt;=N$4),1,""))</f>
        <v/>
      </c>
      <c r="O91" s="30" t="str">
        <f aca="false">IF(OR($D91="",$E91=""),"",IF(AND($D91&lt;=O$4+4,$E91&gt;=O$4),1,""))</f>
        <v/>
      </c>
      <c r="P91" s="30" t="str">
        <f aca="false">IF(OR($D91="",$E91=""),"",IF(AND($D91&lt;=P$4+4,$E91&gt;=P$4),1,""))</f>
        <v/>
      </c>
      <c r="Q91" s="30" t="str">
        <f aca="false">IF(OR($D91="",$E91=""),"",IF(AND($D91&lt;=Q$4+4,$E91&gt;=Q$4),1,""))</f>
        <v/>
      </c>
      <c r="R91" s="30" t="str">
        <f aca="false">IF(OR($D91="",$E91=""),"",IF(AND($D91&lt;=R$4+4,$E91&gt;=R$4),1,""))</f>
        <v/>
      </c>
      <c r="S91" s="30" t="str">
        <f aca="false">IF(OR($D91="",$E91=""),"",IF(AND($D91&lt;=S$4+4,$E91&gt;=S$4),1,""))</f>
        <v/>
      </c>
      <c r="T91" s="30" t="str">
        <f aca="false">IF(OR($D91="",$E91=""),"",IF(AND($D91&lt;=T$4+4,$E91&gt;=T$4),1,""))</f>
        <v/>
      </c>
      <c r="U91" s="30" t="str">
        <f aca="false">IF(OR($D91="",$E91=""),"",IF(AND($D91&lt;=U$4+4,$E91&gt;=U$4),1,""))</f>
        <v/>
      </c>
      <c r="V91" s="30" t="str">
        <f aca="false">IF(OR($D91="",$E91=""),"",IF(AND($D91&lt;=V$4+4,$E91&gt;=V$4),1,""))</f>
        <v/>
      </c>
      <c r="W91" s="30" t="str">
        <f aca="false">IF(OR($D91="",$E91=""),"",IF(AND($D91&lt;=W$4+4,$E91&gt;=W$4),1,""))</f>
        <v/>
      </c>
      <c r="X91" s="30" t="str">
        <f aca="false">IF(OR($D91="",$E91=""),"",IF(AND($D91&lt;=X$4+4,$E91&gt;=X$4),1,""))</f>
        <v/>
      </c>
      <c r="Y91" s="30" t="str">
        <f aca="false">IF(OR($D91="",$E91=""),"",IF(AND($D91&lt;=Y$4+4,$E91&gt;=Y$4),1,""))</f>
        <v/>
      </c>
      <c r="Z91" s="30" t="str">
        <f aca="false">IF(OR($D91="",$E91=""),"",IF(AND($D91&lt;=Z$4+4,$E91&gt;=Z$4),1,""))</f>
        <v/>
      </c>
      <c r="AA91" s="30" t="str">
        <f aca="false">IF(OR($D91="",$E91=""),"",IF(AND($D91&lt;=AA$4+4,$E91&gt;=AA$4),1,""))</f>
        <v/>
      </c>
      <c r="AB91" s="30" t="str">
        <f aca="false">IF(OR($D91="",$E91=""),"",IF(AND($D91&lt;=AB$4+4,$E91&gt;=AB$4),1,""))</f>
        <v/>
      </c>
      <c r="AC91" s="30" t="str">
        <f aca="false">IF(OR($D91="",$E91=""),"",IF(AND($D91&lt;=AC$4+4,$E91&gt;=AC$4),1,""))</f>
        <v/>
      </c>
      <c r="AD91" s="30" t="str">
        <f aca="false">IF(OR($D91="",$E91=""),"",IF(AND($D91&lt;=AD$4+4,$E91&gt;=AD$4),1,""))</f>
        <v/>
      </c>
      <c r="AE91" s="30" t="str">
        <f aca="false">IF(OR($D91="",$E91=""),"",IF(AND($D91&lt;=AE$4+4,$E91&gt;=AE$4),1,""))</f>
        <v/>
      </c>
    </row>
    <row r="92" customFormat="false" ht="15" hidden="false" customHeight="false" outlineLevel="0" collapsed="false">
      <c r="A92" s="28" t="n">
        <v>86</v>
      </c>
      <c r="B92" s="14" t="str">
        <f aca="false">IFERROR(INDEX(Tablero!$A$5:$A$104,MATCH($A92,Tablero!$J$5:$J$104,0))&amp;"","")</f>
        <v/>
      </c>
      <c r="C92" s="14" t="str">
        <f aca="false">IFERROR(INDEX(Tablero!$B$5:$B$104,MATCH($A92,Tablero!$J$5:$J$104,0))&amp;"","")</f>
        <v/>
      </c>
      <c r="D92" s="29" t="str">
        <f aca="false">IFERROR(INDEX(Tablero!$R$5:$R$104,MATCH($A92,Tablero!$J$5:$J$104,0)),"")</f>
        <v/>
      </c>
      <c r="E92" s="29" t="str">
        <f aca="false">IFERROR(INDEX(Tablero!$S$5:$S$104,MATCH($A92,Tablero!$J$5:$J$104,0)),"")</f>
        <v/>
      </c>
      <c r="F92" s="30" t="str">
        <f aca="false">IF(OR($D92="",$E92=""),"",IF(AND($D92&lt;=F$4+4,$E92&gt;=F$4),1,""))</f>
        <v/>
      </c>
      <c r="G92" s="30" t="str">
        <f aca="false">IF(OR($D92="",$E92=""),"",IF(AND($D92&lt;=G$4+4,$E92&gt;=G$4),1,""))</f>
        <v/>
      </c>
      <c r="H92" s="30" t="str">
        <f aca="false">IF(OR($D92="",$E92=""),"",IF(AND($D92&lt;=H$4+4,$E92&gt;=H$4),1,""))</f>
        <v/>
      </c>
      <c r="I92" s="30" t="str">
        <f aca="false">IF(OR($D92="",$E92=""),"",IF(AND($D92&lt;=I$4+4,$E92&gt;=I$4),1,""))</f>
        <v/>
      </c>
      <c r="J92" s="30" t="str">
        <f aca="false">IF(OR($D92="",$E92=""),"",IF(AND($D92&lt;=J$4+4,$E92&gt;=J$4),1,""))</f>
        <v/>
      </c>
      <c r="K92" s="30" t="str">
        <f aca="false">IF(OR($D92="",$E92=""),"",IF(AND($D92&lt;=K$4+4,$E92&gt;=K$4),1,""))</f>
        <v/>
      </c>
      <c r="L92" s="30" t="str">
        <f aca="false">IF(OR($D92="",$E92=""),"",IF(AND($D92&lt;=L$4+4,$E92&gt;=L$4),1,""))</f>
        <v/>
      </c>
      <c r="M92" s="30" t="str">
        <f aca="false">IF(OR($D92="",$E92=""),"",IF(AND($D92&lt;=M$4+4,$E92&gt;=M$4),1,""))</f>
        <v/>
      </c>
      <c r="N92" s="30" t="str">
        <f aca="false">IF(OR($D92="",$E92=""),"",IF(AND($D92&lt;=N$4+4,$E92&gt;=N$4),1,""))</f>
        <v/>
      </c>
      <c r="O92" s="30" t="str">
        <f aca="false">IF(OR($D92="",$E92=""),"",IF(AND($D92&lt;=O$4+4,$E92&gt;=O$4),1,""))</f>
        <v/>
      </c>
      <c r="P92" s="30" t="str">
        <f aca="false">IF(OR($D92="",$E92=""),"",IF(AND($D92&lt;=P$4+4,$E92&gt;=P$4),1,""))</f>
        <v/>
      </c>
      <c r="Q92" s="30" t="str">
        <f aca="false">IF(OR($D92="",$E92=""),"",IF(AND($D92&lt;=Q$4+4,$E92&gt;=Q$4),1,""))</f>
        <v/>
      </c>
      <c r="R92" s="30" t="str">
        <f aca="false">IF(OR($D92="",$E92=""),"",IF(AND($D92&lt;=R$4+4,$E92&gt;=R$4),1,""))</f>
        <v/>
      </c>
      <c r="S92" s="30" t="str">
        <f aca="false">IF(OR($D92="",$E92=""),"",IF(AND($D92&lt;=S$4+4,$E92&gt;=S$4),1,""))</f>
        <v/>
      </c>
      <c r="T92" s="30" t="str">
        <f aca="false">IF(OR($D92="",$E92=""),"",IF(AND($D92&lt;=T$4+4,$E92&gt;=T$4),1,""))</f>
        <v/>
      </c>
      <c r="U92" s="30" t="str">
        <f aca="false">IF(OR($D92="",$E92=""),"",IF(AND($D92&lt;=U$4+4,$E92&gt;=U$4),1,""))</f>
        <v/>
      </c>
      <c r="V92" s="30" t="str">
        <f aca="false">IF(OR($D92="",$E92=""),"",IF(AND($D92&lt;=V$4+4,$E92&gt;=V$4),1,""))</f>
        <v/>
      </c>
      <c r="W92" s="30" t="str">
        <f aca="false">IF(OR($D92="",$E92=""),"",IF(AND($D92&lt;=W$4+4,$E92&gt;=W$4),1,""))</f>
        <v/>
      </c>
      <c r="X92" s="30" t="str">
        <f aca="false">IF(OR($D92="",$E92=""),"",IF(AND($D92&lt;=X$4+4,$E92&gt;=X$4),1,""))</f>
        <v/>
      </c>
      <c r="Y92" s="30" t="str">
        <f aca="false">IF(OR($D92="",$E92=""),"",IF(AND($D92&lt;=Y$4+4,$E92&gt;=Y$4),1,""))</f>
        <v/>
      </c>
      <c r="Z92" s="30" t="str">
        <f aca="false">IF(OR($D92="",$E92=""),"",IF(AND($D92&lt;=Z$4+4,$E92&gt;=Z$4),1,""))</f>
        <v/>
      </c>
      <c r="AA92" s="30" t="str">
        <f aca="false">IF(OR($D92="",$E92=""),"",IF(AND($D92&lt;=AA$4+4,$E92&gt;=AA$4),1,""))</f>
        <v/>
      </c>
      <c r="AB92" s="30" t="str">
        <f aca="false">IF(OR($D92="",$E92=""),"",IF(AND($D92&lt;=AB$4+4,$E92&gt;=AB$4),1,""))</f>
        <v/>
      </c>
      <c r="AC92" s="30" t="str">
        <f aca="false">IF(OR($D92="",$E92=""),"",IF(AND($D92&lt;=AC$4+4,$E92&gt;=AC$4),1,""))</f>
        <v/>
      </c>
      <c r="AD92" s="30" t="str">
        <f aca="false">IF(OR($D92="",$E92=""),"",IF(AND($D92&lt;=AD$4+4,$E92&gt;=AD$4),1,""))</f>
        <v/>
      </c>
      <c r="AE92" s="30" t="str">
        <f aca="false">IF(OR($D92="",$E92=""),"",IF(AND($D92&lt;=AE$4+4,$E92&gt;=AE$4),1,""))</f>
        <v/>
      </c>
    </row>
    <row r="93" customFormat="false" ht="15" hidden="false" customHeight="false" outlineLevel="0" collapsed="false">
      <c r="A93" s="28" t="n">
        <v>87</v>
      </c>
      <c r="B93" s="14" t="str">
        <f aca="false">IFERROR(INDEX(Tablero!$A$5:$A$104,MATCH($A93,Tablero!$J$5:$J$104,0))&amp;"","")</f>
        <v/>
      </c>
      <c r="C93" s="14" t="str">
        <f aca="false">IFERROR(INDEX(Tablero!$B$5:$B$104,MATCH($A93,Tablero!$J$5:$J$104,0))&amp;"","")</f>
        <v/>
      </c>
      <c r="D93" s="29" t="str">
        <f aca="false">IFERROR(INDEX(Tablero!$R$5:$R$104,MATCH($A93,Tablero!$J$5:$J$104,0)),"")</f>
        <v/>
      </c>
      <c r="E93" s="29" t="str">
        <f aca="false">IFERROR(INDEX(Tablero!$S$5:$S$104,MATCH($A93,Tablero!$J$5:$J$104,0)),"")</f>
        <v/>
      </c>
      <c r="F93" s="30" t="str">
        <f aca="false">IF(OR($D93="",$E93=""),"",IF(AND($D93&lt;=F$4+4,$E93&gt;=F$4),1,""))</f>
        <v/>
      </c>
      <c r="G93" s="30" t="str">
        <f aca="false">IF(OR($D93="",$E93=""),"",IF(AND($D93&lt;=G$4+4,$E93&gt;=G$4),1,""))</f>
        <v/>
      </c>
      <c r="H93" s="30" t="str">
        <f aca="false">IF(OR($D93="",$E93=""),"",IF(AND($D93&lt;=H$4+4,$E93&gt;=H$4),1,""))</f>
        <v/>
      </c>
      <c r="I93" s="30" t="str">
        <f aca="false">IF(OR($D93="",$E93=""),"",IF(AND($D93&lt;=I$4+4,$E93&gt;=I$4),1,""))</f>
        <v/>
      </c>
      <c r="J93" s="30" t="str">
        <f aca="false">IF(OR($D93="",$E93=""),"",IF(AND($D93&lt;=J$4+4,$E93&gt;=J$4),1,""))</f>
        <v/>
      </c>
      <c r="K93" s="30" t="str">
        <f aca="false">IF(OR($D93="",$E93=""),"",IF(AND($D93&lt;=K$4+4,$E93&gt;=K$4),1,""))</f>
        <v/>
      </c>
      <c r="L93" s="30" t="str">
        <f aca="false">IF(OR($D93="",$E93=""),"",IF(AND($D93&lt;=L$4+4,$E93&gt;=L$4),1,""))</f>
        <v/>
      </c>
      <c r="M93" s="30" t="str">
        <f aca="false">IF(OR($D93="",$E93=""),"",IF(AND($D93&lt;=M$4+4,$E93&gt;=M$4),1,""))</f>
        <v/>
      </c>
      <c r="N93" s="30" t="str">
        <f aca="false">IF(OR($D93="",$E93=""),"",IF(AND($D93&lt;=N$4+4,$E93&gt;=N$4),1,""))</f>
        <v/>
      </c>
      <c r="O93" s="30" t="str">
        <f aca="false">IF(OR($D93="",$E93=""),"",IF(AND($D93&lt;=O$4+4,$E93&gt;=O$4),1,""))</f>
        <v/>
      </c>
      <c r="P93" s="30" t="str">
        <f aca="false">IF(OR($D93="",$E93=""),"",IF(AND($D93&lt;=P$4+4,$E93&gt;=P$4),1,""))</f>
        <v/>
      </c>
      <c r="Q93" s="30" t="str">
        <f aca="false">IF(OR($D93="",$E93=""),"",IF(AND($D93&lt;=Q$4+4,$E93&gt;=Q$4),1,""))</f>
        <v/>
      </c>
      <c r="R93" s="30" t="str">
        <f aca="false">IF(OR($D93="",$E93=""),"",IF(AND($D93&lt;=R$4+4,$E93&gt;=R$4),1,""))</f>
        <v/>
      </c>
      <c r="S93" s="30" t="str">
        <f aca="false">IF(OR($D93="",$E93=""),"",IF(AND($D93&lt;=S$4+4,$E93&gt;=S$4),1,""))</f>
        <v/>
      </c>
      <c r="T93" s="30" t="str">
        <f aca="false">IF(OR($D93="",$E93=""),"",IF(AND($D93&lt;=T$4+4,$E93&gt;=T$4),1,""))</f>
        <v/>
      </c>
      <c r="U93" s="30" t="str">
        <f aca="false">IF(OR($D93="",$E93=""),"",IF(AND($D93&lt;=U$4+4,$E93&gt;=U$4),1,""))</f>
        <v/>
      </c>
      <c r="V93" s="30" t="str">
        <f aca="false">IF(OR($D93="",$E93=""),"",IF(AND($D93&lt;=V$4+4,$E93&gt;=V$4),1,""))</f>
        <v/>
      </c>
      <c r="W93" s="30" t="str">
        <f aca="false">IF(OR($D93="",$E93=""),"",IF(AND($D93&lt;=W$4+4,$E93&gt;=W$4),1,""))</f>
        <v/>
      </c>
      <c r="X93" s="30" t="str">
        <f aca="false">IF(OR($D93="",$E93=""),"",IF(AND($D93&lt;=X$4+4,$E93&gt;=X$4),1,""))</f>
        <v/>
      </c>
      <c r="Y93" s="30" t="str">
        <f aca="false">IF(OR($D93="",$E93=""),"",IF(AND($D93&lt;=Y$4+4,$E93&gt;=Y$4),1,""))</f>
        <v/>
      </c>
      <c r="Z93" s="30" t="str">
        <f aca="false">IF(OR($D93="",$E93=""),"",IF(AND($D93&lt;=Z$4+4,$E93&gt;=Z$4),1,""))</f>
        <v/>
      </c>
      <c r="AA93" s="30" t="str">
        <f aca="false">IF(OR($D93="",$E93=""),"",IF(AND($D93&lt;=AA$4+4,$E93&gt;=AA$4),1,""))</f>
        <v/>
      </c>
      <c r="AB93" s="30" t="str">
        <f aca="false">IF(OR($D93="",$E93=""),"",IF(AND($D93&lt;=AB$4+4,$E93&gt;=AB$4),1,""))</f>
        <v/>
      </c>
      <c r="AC93" s="30" t="str">
        <f aca="false">IF(OR($D93="",$E93=""),"",IF(AND($D93&lt;=AC$4+4,$E93&gt;=AC$4),1,""))</f>
        <v/>
      </c>
      <c r="AD93" s="30" t="str">
        <f aca="false">IF(OR($D93="",$E93=""),"",IF(AND($D93&lt;=AD$4+4,$E93&gt;=AD$4),1,""))</f>
        <v/>
      </c>
      <c r="AE93" s="30" t="str">
        <f aca="false">IF(OR($D93="",$E93=""),"",IF(AND($D93&lt;=AE$4+4,$E93&gt;=AE$4),1,""))</f>
        <v/>
      </c>
    </row>
    <row r="94" customFormat="false" ht="15" hidden="false" customHeight="false" outlineLevel="0" collapsed="false">
      <c r="A94" s="28" t="n">
        <v>88</v>
      </c>
      <c r="B94" s="14" t="str">
        <f aca="false">IFERROR(INDEX(Tablero!$A$5:$A$104,MATCH($A94,Tablero!$J$5:$J$104,0))&amp;"","")</f>
        <v/>
      </c>
      <c r="C94" s="14" t="str">
        <f aca="false">IFERROR(INDEX(Tablero!$B$5:$B$104,MATCH($A94,Tablero!$J$5:$J$104,0))&amp;"","")</f>
        <v/>
      </c>
      <c r="D94" s="29" t="str">
        <f aca="false">IFERROR(INDEX(Tablero!$R$5:$R$104,MATCH($A94,Tablero!$J$5:$J$104,0)),"")</f>
        <v/>
      </c>
      <c r="E94" s="29" t="str">
        <f aca="false">IFERROR(INDEX(Tablero!$S$5:$S$104,MATCH($A94,Tablero!$J$5:$J$104,0)),"")</f>
        <v/>
      </c>
      <c r="F94" s="30" t="str">
        <f aca="false">IF(OR($D94="",$E94=""),"",IF(AND($D94&lt;=F$4+4,$E94&gt;=F$4),1,""))</f>
        <v/>
      </c>
      <c r="G94" s="30" t="str">
        <f aca="false">IF(OR($D94="",$E94=""),"",IF(AND($D94&lt;=G$4+4,$E94&gt;=G$4),1,""))</f>
        <v/>
      </c>
      <c r="H94" s="30" t="str">
        <f aca="false">IF(OR($D94="",$E94=""),"",IF(AND($D94&lt;=H$4+4,$E94&gt;=H$4),1,""))</f>
        <v/>
      </c>
      <c r="I94" s="30" t="str">
        <f aca="false">IF(OR($D94="",$E94=""),"",IF(AND($D94&lt;=I$4+4,$E94&gt;=I$4),1,""))</f>
        <v/>
      </c>
      <c r="J94" s="30" t="str">
        <f aca="false">IF(OR($D94="",$E94=""),"",IF(AND($D94&lt;=J$4+4,$E94&gt;=J$4),1,""))</f>
        <v/>
      </c>
      <c r="K94" s="30" t="str">
        <f aca="false">IF(OR($D94="",$E94=""),"",IF(AND($D94&lt;=K$4+4,$E94&gt;=K$4),1,""))</f>
        <v/>
      </c>
      <c r="L94" s="30" t="str">
        <f aca="false">IF(OR($D94="",$E94=""),"",IF(AND($D94&lt;=L$4+4,$E94&gt;=L$4),1,""))</f>
        <v/>
      </c>
      <c r="M94" s="30" t="str">
        <f aca="false">IF(OR($D94="",$E94=""),"",IF(AND($D94&lt;=M$4+4,$E94&gt;=M$4),1,""))</f>
        <v/>
      </c>
      <c r="N94" s="30" t="str">
        <f aca="false">IF(OR($D94="",$E94=""),"",IF(AND($D94&lt;=N$4+4,$E94&gt;=N$4),1,""))</f>
        <v/>
      </c>
      <c r="O94" s="30" t="str">
        <f aca="false">IF(OR($D94="",$E94=""),"",IF(AND($D94&lt;=O$4+4,$E94&gt;=O$4),1,""))</f>
        <v/>
      </c>
      <c r="P94" s="30" t="str">
        <f aca="false">IF(OR($D94="",$E94=""),"",IF(AND($D94&lt;=P$4+4,$E94&gt;=P$4),1,""))</f>
        <v/>
      </c>
      <c r="Q94" s="30" t="str">
        <f aca="false">IF(OR($D94="",$E94=""),"",IF(AND($D94&lt;=Q$4+4,$E94&gt;=Q$4),1,""))</f>
        <v/>
      </c>
      <c r="R94" s="30" t="str">
        <f aca="false">IF(OR($D94="",$E94=""),"",IF(AND($D94&lt;=R$4+4,$E94&gt;=R$4),1,""))</f>
        <v/>
      </c>
      <c r="S94" s="30" t="str">
        <f aca="false">IF(OR($D94="",$E94=""),"",IF(AND($D94&lt;=S$4+4,$E94&gt;=S$4),1,""))</f>
        <v/>
      </c>
      <c r="T94" s="30" t="str">
        <f aca="false">IF(OR($D94="",$E94=""),"",IF(AND($D94&lt;=T$4+4,$E94&gt;=T$4),1,""))</f>
        <v/>
      </c>
      <c r="U94" s="30" t="str">
        <f aca="false">IF(OR($D94="",$E94=""),"",IF(AND($D94&lt;=U$4+4,$E94&gt;=U$4),1,""))</f>
        <v/>
      </c>
      <c r="V94" s="30" t="str">
        <f aca="false">IF(OR($D94="",$E94=""),"",IF(AND($D94&lt;=V$4+4,$E94&gt;=V$4),1,""))</f>
        <v/>
      </c>
      <c r="W94" s="30" t="str">
        <f aca="false">IF(OR($D94="",$E94=""),"",IF(AND($D94&lt;=W$4+4,$E94&gt;=W$4),1,""))</f>
        <v/>
      </c>
      <c r="X94" s="30" t="str">
        <f aca="false">IF(OR($D94="",$E94=""),"",IF(AND($D94&lt;=X$4+4,$E94&gt;=X$4),1,""))</f>
        <v/>
      </c>
      <c r="Y94" s="30" t="str">
        <f aca="false">IF(OR($D94="",$E94=""),"",IF(AND($D94&lt;=Y$4+4,$E94&gt;=Y$4),1,""))</f>
        <v/>
      </c>
      <c r="Z94" s="30" t="str">
        <f aca="false">IF(OR($D94="",$E94=""),"",IF(AND($D94&lt;=Z$4+4,$E94&gt;=Z$4),1,""))</f>
        <v/>
      </c>
      <c r="AA94" s="30" t="str">
        <f aca="false">IF(OR($D94="",$E94=""),"",IF(AND($D94&lt;=AA$4+4,$E94&gt;=AA$4),1,""))</f>
        <v/>
      </c>
      <c r="AB94" s="30" t="str">
        <f aca="false">IF(OR($D94="",$E94=""),"",IF(AND($D94&lt;=AB$4+4,$E94&gt;=AB$4),1,""))</f>
        <v/>
      </c>
      <c r="AC94" s="30" t="str">
        <f aca="false">IF(OR($D94="",$E94=""),"",IF(AND($D94&lt;=AC$4+4,$E94&gt;=AC$4),1,""))</f>
        <v/>
      </c>
      <c r="AD94" s="30" t="str">
        <f aca="false">IF(OR($D94="",$E94=""),"",IF(AND($D94&lt;=AD$4+4,$E94&gt;=AD$4),1,""))</f>
        <v/>
      </c>
      <c r="AE94" s="30" t="str">
        <f aca="false">IF(OR($D94="",$E94=""),"",IF(AND($D94&lt;=AE$4+4,$E94&gt;=AE$4),1,""))</f>
        <v/>
      </c>
    </row>
    <row r="95" customFormat="false" ht="15" hidden="false" customHeight="false" outlineLevel="0" collapsed="false">
      <c r="A95" s="28" t="n">
        <v>89</v>
      </c>
      <c r="B95" s="14" t="str">
        <f aca="false">IFERROR(INDEX(Tablero!$A$5:$A$104,MATCH($A95,Tablero!$J$5:$J$104,0))&amp;"","")</f>
        <v/>
      </c>
      <c r="C95" s="14" t="str">
        <f aca="false">IFERROR(INDEX(Tablero!$B$5:$B$104,MATCH($A95,Tablero!$J$5:$J$104,0))&amp;"","")</f>
        <v/>
      </c>
      <c r="D95" s="29" t="str">
        <f aca="false">IFERROR(INDEX(Tablero!$R$5:$R$104,MATCH($A95,Tablero!$J$5:$J$104,0)),"")</f>
        <v/>
      </c>
      <c r="E95" s="29" t="str">
        <f aca="false">IFERROR(INDEX(Tablero!$S$5:$S$104,MATCH($A95,Tablero!$J$5:$J$104,0)),"")</f>
        <v/>
      </c>
      <c r="F95" s="30" t="str">
        <f aca="false">IF(OR($D95="",$E95=""),"",IF(AND($D95&lt;=F$4+4,$E95&gt;=F$4),1,""))</f>
        <v/>
      </c>
      <c r="G95" s="30" t="str">
        <f aca="false">IF(OR($D95="",$E95=""),"",IF(AND($D95&lt;=G$4+4,$E95&gt;=G$4),1,""))</f>
        <v/>
      </c>
      <c r="H95" s="30" t="str">
        <f aca="false">IF(OR($D95="",$E95=""),"",IF(AND($D95&lt;=H$4+4,$E95&gt;=H$4),1,""))</f>
        <v/>
      </c>
      <c r="I95" s="30" t="str">
        <f aca="false">IF(OR($D95="",$E95=""),"",IF(AND($D95&lt;=I$4+4,$E95&gt;=I$4),1,""))</f>
        <v/>
      </c>
      <c r="J95" s="30" t="str">
        <f aca="false">IF(OR($D95="",$E95=""),"",IF(AND($D95&lt;=J$4+4,$E95&gt;=J$4),1,""))</f>
        <v/>
      </c>
      <c r="K95" s="30" t="str">
        <f aca="false">IF(OR($D95="",$E95=""),"",IF(AND($D95&lt;=K$4+4,$E95&gt;=K$4),1,""))</f>
        <v/>
      </c>
      <c r="L95" s="30" t="str">
        <f aca="false">IF(OR($D95="",$E95=""),"",IF(AND($D95&lt;=L$4+4,$E95&gt;=L$4),1,""))</f>
        <v/>
      </c>
      <c r="M95" s="30" t="str">
        <f aca="false">IF(OR($D95="",$E95=""),"",IF(AND($D95&lt;=M$4+4,$E95&gt;=M$4),1,""))</f>
        <v/>
      </c>
      <c r="N95" s="30" t="str">
        <f aca="false">IF(OR($D95="",$E95=""),"",IF(AND($D95&lt;=N$4+4,$E95&gt;=N$4),1,""))</f>
        <v/>
      </c>
      <c r="O95" s="30" t="str">
        <f aca="false">IF(OR($D95="",$E95=""),"",IF(AND($D95&lt;=O$4+4,$E95&gt;=O$4),1,""))</f>
        <v/>
      </c>
      <c r="P95" s="30" t="str">
        <f aca="false">IF(OR($D95="",$E95=""),"",IF(AND($D95&lt;=P$4+4,$E95&gt;=P$4),1,""))</f>
        <v/>
      </c>
      <c r="Q95" s="30" t="str">
        <f aca="false">IF(OR($D95="",$E95=""),"",IF(AND($D95&lt;=Q$4+4,$E95&gt;=Q$4),1,""))</f>
        <v/>
      </c>
      <c r="R95" s="30" t="str">
        <f aca="false">IF(OR($D95="",$E95=""),"",IF(AND($D95&lt;=R$4+4,$E95&gt;=R$4),1,""))</f>
        <v/>
      </c>
      <c r="S95" s="30" t="str">
        <f aca="false">IF(OR($D95="",$E95=""),"",IF(AND($D95&lt;=S$4+4,$E95&gt;=S$4),1,""))</f>
        <v/>
      </c>
      <c r="T95" s="30" t="str">
        <f aca="false">IF(OR($D95="",$E95=""),"",IF(AND($D95&lt;=T$4+4,$E95&gt;=T$4),1,""))</f>
        <v/>
      </c>
      <c r="U95" s="30" t="str">
        <f aca="false">IF(OR($D95="",$E95=""),"",IF(AND($D95&lt;=U$4+4,$E95&gt;=U$4),1,""))</f>
        <v/>
      </c>
      <c r="V95" s="30" t="str">
        <f aca="false">IF(OR($D95="",$E95=""),"",IF(AND($D95&lt;=V$4+4,$E95&gt;=V$4),1,""))</f>
        <v/>
      </c>
      <c r="W95" s="30" t="str">
        <f aca="false">IF(OR($D95="",$E95=""),"",IF(AND($D95&lt;=W$4+4,$E95&gt;=W$4),1,""))</f>
        <v/>
      </c>
      <c r="X95" s="30" t="str">
        <f aca="false">IF(OR($D95="",$E95=""),"",IF(AND($D95&lt;=X$4+4,$E95&gt;=X$4),1,""))</f>
        <v/>
      </c>
      <c r="Y95" s="30" t="str">
        <f aca="false">IF(OR($D95="",$E95=""),"",IF(AND($D95&lt;=Y$4+4,$E95&gt;=Y$4),1,""))</f>
        <v/>
      </c>
      <c r="Z95" s="30" t="str">
        <f aca="false">IF(OR($D95="",$E95=""),"",IF(AND($D95&lt;=Z$4+4,$E95&gt;=Z$4),1,""))</f>
        <v/>
      </c>
      <c r="AA95" s="30" t="str">
        <f aca="false">IF(OR($D95="",$E95=""),"",IF(AND($D95&lt;=AA$4+4,$E95&gt;=AA$4),1,""))</f>
        <v/>
      </c>
      <c r="AB95" s="30" t="str">
        <f aca="false">IF(OR($D95="",$E95=""),"",IF(AND($D95&lt;=AB$4+4,$E95&gt;=AB$4),1,""))</f>
        <v/>
      </c>
      <c r="AC95" s="30" t="str">
        <f aca="false">IF(OR($D95="",$E95=""),"",IF(AND($D95&lt;=AC$4+4,$E95&gt;=AC$4),1,""))</f>
        <v/>
      </c>
      <c r="AD95" s="30" t="str">
        <f aca="false">IF(OR($D95="",$E95=""),"",IF(AND($D95&lt;=AD$4+4,$E95&gt;=AD$4),1,""))</f>
        <v/>
      </c>
      <c r="AE95" s="30" t="str">
        <f aca="false">IF(OR($D95="",$E95=""),"",IF(AND($D95&lt;=AE$4+4,$E95&gt;=AE$4),1,""))</f>
        <v/>
      </c>
    </row>
    <row r="96" customFormat="false" ht="15" hidden="false" customHeight="false" outlineLevel="0" collapsed="false">
      <c r="A96" s="28" t="n">
        <v>90</v>
      </c>
      <c r="B96" s="14" t="str">
        <f aca="false">IFERROR(INDEX(Tablero!$A$5:$A$104,MATCH($A96,Tablero!$J$5:$J$104,0))&amp;"","")</f>
        <v/>
      </c>
      <c r="C96" s="14" t="str">
        <f aca="false">IFERROR(INDEX(Tablero!$B$5:$B$104,MATCH($A96,Tablero!$J$5:$J$104,0))&amp;"","")</f>
        <v/>
      </c>
      <c r="D96" s="29" t="str">
        <f aca="false">IFERROR(INDEX(Tablero!$R$5:$R$104,MATCH($A96,Tablero!$J$5:$J$104,0)),"")</f>
        <v/>
      </c>
      <c r="E96" s="29" t="str">
        <f aca="false">IFERROR(INDEX(Tablero!$S$5:$S$104,MATCH($A96,Tablero!$J$5:$J$104,0)),"")</f>
        <v/>
      </c>
      <c r="F96" s="30" t="str">
        <f aca="false">IF(OR($D96="",$E96=""),"",IF(AND($D96&lt;=F$4+4,$E96&gt;=F$4),1,""))</f>
        <v/>
      </c>
      <c r="G96" s="30" t="str">
        <f aca="false">IF(OR($D96="",$E96=""),"",IF(AND($D96&lt;=G$4+4,$E96&gt;=G$4),1,""))</f>
        <v/>
      </c>
      <c r="H96" s="30" t="str">
        <f aca="false">IF(OR($D96="",$E96=""),"",IF(AND($D96&lt;=H$4+4,$E96&gt;=H$4),1,""))</f>
        <v/>
      </c>
      <c r="I96" s="30" t="str">
        <f aca="false">IF(OR($D96="",$E96=""),"",IF(AND($D96&lt;=I$4+4,$E96&gt;=I$4),1,""))</f>
        <v/>
      </c>
      <c r="J96" s="30" t="str">
        <f aca="false">IF(OR($D96="",$E96=""),"",IF(AND($D96&lt;=J$4+4,$E96&gt;=J$4),1,""))</f>
        <v/>
      </c>
      <c r="K96" s="30" t="str">
        <f aca="false">IF(OR($D96="",$E96=""),"",IF(AND($D96&lt;=K$4+4,$E96&gt;=K$4),1,""))</f>
        <v/>
      </c>
      <c r="L96" s="30" t="str">
        <f aca="false">IF(OR($D96="",$E96=""),"",IF(AND($D96&lt;=L$4+4,$E96&gt;=L$4),1,""))</f>
        <v/>
      </c>
      <c r="M96" s="30" t="str">
        <f aca="false">IF(OR($D96="",$E96=""),"",IF(AND($D96&lt;=M$4+4,$E96&gt;=M$4),1,""))</f>
        <v/>
      </c>
      <c r="N96" s="30" t="str">
        <f aca="false">IF(OR($D96="",$E96=""),"",IF(AND($D96&lt;=N$4+4,$E96&gt;=N$4),1,""))</f>
        <v/>
      </c>
      <c r="O96" s="30" t="str">
        <f aca="false">IF(OR($D96="",$E96=""),"",IF(AND($D96&lt;=O$4+4,$E96&gt;=O$4),1,""))</f>
        <v/>
      </c>
      <c r="P96" s="30" t="str">
        <f aca="false">IF(OR($D96="",$E96=""),"",IF(AND($D96&lt;=P$4+4,$E96&gt;=P$4),1,""))</f>
        <v/>
      </c>
      <c r="Q96" s="30" t="str">
        <f aca="false">IF(OR($D96="",$E96=""),"",IF(AND($D96&lt;=Q$4+4,$E96&gt;=Q$4),1,""))</f>
        <v/>
      </c>
      <c r="R96" s="30" t="str">
        <f aca="false">IF(OR($D96="",$E96=""),"",IF(AND($D96&lt;=R$4+4,$E96&gt;=R$4),1,""))</f>
        <v/>
      </c>
      <c r="S96" s="30" t="str">
        <f aca="false">IF(OR($D96="",$E96=""),"",IF(AND($D96&lt;=S$4+4,$E96&gt;=S$4),1,""))</f>
        <v/>
      </c>
      <c r="T96" s="30" t="str">
        <f aca="false">IF(OR($D96="",$E96=""),"",IF(AND($D96&lt;=T$4+4,$E96&gt;=T$4),1,""))</f>
        <v/>
      </c>
      <c r="U96" s="30" t="str">
        <f aca="false">IF(OR($D96="",$E96=""),"",IF(AND($D96&lt;=U$4+4,$E96&gt;=U$4),1,""))</f>
        <v/>
      </c>
      <c r="V96" s="30" t="str">
        <f aca="false">IF(OR($D96="",$E96=""),"",IF(AND($D96&lt;=V$4+4,$E96&gt;=V$4),1,""))</f>
        <v/>
      </c>
      <c r="W96" s="30" t="str">
        <f aca="false">IF(OR($D96="",$E96=""),"",IF(AND($D96&lt;=W$4+4,$E96&gt;=W$4),1,""))</f>
        <v/>
      </c>
      <c r="X96" s="30" t="str">
        <f aca="false">IF(OR($D96="",$E96=""),"",IF(AND($D96&lt;=X$4+4,$E96&gt;=X$4),1,""))</f>
        <v/>
      </c>
      <c r="Y96" s="30" t="str">
        <f aca="false">IF(OR($D96="",$E96=""),"",IF(AND($D96&lt;=Y$4+4,$E96&gt;=Y$4),1,""))</f>
        <v/>
      </c>
      <c r="Z96" s="30" t="str">
        <f aca="false">IF(OR($D96="",$E96=""),"",IF(AND($D96&lt;=Z$4+4,$E96&gt;=Z$4),1,""))</f>
        <v/>
      </c>
      <c r="AA96" s="30" t="str">
        <f aca="false">IF(OR($D96="",$E96=""),"",IF(AND($D96&lt;=AA$4+4,$E96&gt;=AA$4),1,""))</f>
        <v/>
      </c>
      <c r="AB96" s="30" t="str">
        <f aca="false">IF(OR($D96="",$E96=""),"",IF(AND($D96&lt;=AB$4+4,$E96&gt;=AB$4),1,""))</f>
        <v/>
      </c>
      <c r="AC96" s="30" t="str">
        <f aca="false">IF(OR($D96="",$E96=""),"",IF(AND($D96&lt;=AC$4+4,$E96&gt;=AC$4),1,""))</f>
        <v/>
      </c>
      <c r="AD96" s="30" t="str">
        <f aca="false">IF(OR($D96="",$E96=""),"",IF(AND($D96&lt;=AD$4+4,$E96&gt;=AD$4),1,""))</f>
        <v/>
      </c>
      <c r="AE96" s="30" t="str">
        <f aca="false">IF(OR($D96="",$E96=""),"",IF(AND($D96&lt;=AE$4+4,$E96&gt;=AE$4),1,""))</f>
        <v/>
      </c>
    </row>
    <row r="97" customFormat="false" ht="15" hidden="false" customHeight="false" outlineLevel="0" collapsed="false">
      <c r="A97" s="28" t="n">
        <v>91</v>
      </c>
      <c r="B97" s="14" t="str">
        <f aca="false">IFERROR(INDEX(Tablero!$A$5:$A$104,MATCH($A97,Tablero!$J$5:$J$104,0))&amp;"","")</f>
        <v/>
      </c>
      <c r="C97" s="14" t="str">
        <f aca="false">IFERROR(INDEX(Tablero!$B$5:$B$104,MATCH($A97,Tablero!$J$5:$J$104,0))&amp;"","")</f>
        <v/>
      </c>
      <c r="D97" s="29" t="str">
        <f aca="false">IFERROR(INDEX(Tablero!$R$5:$R$104,MATCH($A97,Tablero!$J$5:$J$104,0)),"")</f>
        <v/>
      </c>
      <c r="E97" s="29" t="str">
        <f aca="false">IFERROR(INDEX(Tablero!$S$5:$S$104,MATCH($A97,Tablero!$J$5:$J$104,0)),"")</f>
        <v/>
      </c>
      <c r="F97" s="30" t="str">
        <f aca="false">IF(OR($D97="",$E97=""),"",IF(AND($D97&lt;=F$4+4,$E97&gt;=F$4),1,""))</f>
        <v/>
      </c>
      <c r="G97" s="30" t="str">
        <f aca="false">IF(OR($D97="",$E97=""),"",IF(AND($D97&lt;=G$4+4,$E97&gt;=G$4),1,""))</f>
        <v/>
      </c>
      <c r="H97" s="30" t="str">
        <f aca="false">IF(OR($D97="",$E97=""),"",IF(AND($D97&lt;=H$4+4,$E97&gt;=H$4),1,""))</f>
        <v/>
      </c>
      <c r="I97" s="30" t="str">
        <f aca="false">IF(OR($D97="",$E97=""),"",IF(AND($D97&lt;=I$4+4,$E97&gt;=I$4),1,""))</f>
        <v/>
      </c>
      <c r="J97" s="30" t="str">
        <f aca="false">IF(OR($D97="",$E97=""),"",IF(AND($D97&lt;=J$4+4,$E97&gt;=J$4),1,""))</f>
        <v/>
      </c>
      <c r="K97" s="30" t="str">
        <f aca="false">IF(OR($D97="",$E97=""),"",IF(AND($D97&lt;=K$4+4,$E97&gt;=K$4),1,""))</f>
        <v/>
      </c>
      <c r="L97" s="30" t="str">
        <f aca="false">IF(OR($D97="",$E97=""),"",IF(AND($D97&lt;=L$4+4,$E97&gt;=L$4),1,""))</f>
        <v/>
      </c>
      <c r="M97" s="30" t="str">
        <f aca="false">IF(OR($D97="",$E97=""),"",IF(AND($D97&lt;=M$4+4,$E97&gt;=M$4),1,""))</f>
        <v/>
      </c>
      <c r="N97" s="30" t="str">
        <f aca="false">IF(OR($D97="",$E97=""),"",IF(AND($D97&lt;=N$4+4,$E97&gt;=N$4),1,""))</f>
        <v/>
      </c>
      <c r="O97" s="30" t="str">
        <f aca="false">IF(OR($D97="",$E97=""),"",IF(AND($D97&lt;=O$4+4,$E97&gt;=O$4),1,""))</f>
        <v/>
      </c>
      <c r="P97" s="30" t="str">
        <f aca="false">IF(OR($D97="",$E97=""),"",IF(AND($D97&lt;=P$4+4,$E97&gt;=P$4),1,""))</f>
        <v/>
      </c>
      <c r="Q97" s="30" t="str">
        <f aca="false">IF(OR($D97="",$E97=""),"",IF(AND($D97&lt;=Q$4+4,$E97&gt;=Q$4),1,""))</f>
        <v/>
      </c>
      <c r="R97" s="30" t="str">
        <f aca="false">IF(OR($D97="",$E97=""),"",IF(AND($D97&lt;=R$4+4,$E97&gt;=R$4),1,""))</f>
        <v/>
      </c>
      <c r="S97" s="30" t="str">
        <f aca="false">IF(OR($D97="",$E97=""),"",IF(AND($D97&lt;=S$4+4,$E97&gt;=S$4),1,""))</f>
        <v/>
      </c>
      <c r="T97" s="30" t="str">
        <f aca="false">IF(OR($D97="",$E97=""),"",IF(AND($D97&lt;=T$4+4,$E97&gt;=T$4),1,""))</f>
        <v/>
      </c>
      <c r="U97" s="30" t="str">
        <f aca="false">IF(OR($D97="",$E97=""),"",IF(AND($D97&lt;=U$4+4,$E97&gt;=U$4),1,""))</f>
        <v/>
      </c>
      <c r="V97" s="30" t="str">
        <f aca="false">IF(OR($D97="",$E97=""),"",IF(AND($D97&lt;=V$4+4,$E97&gt;=V$4),1,""))</f>
        <v/>
      </c>
      <c r="W97" s="30" t="str">
        <f aca="false">IF(OR($D97="",$E97=""),"",IF(AND($D97&lt;=W$4+4,$E97&gt;=W$4),1,""))</f>
        <v/>
      </c>
      <c r="X97" s="30" t="str">
        <f aca="false">IF(OR($D97="",$E97=""),"",IF(AND($D97&lt;=X$4+4,$E97&gt;=X$4),1,""))</f>
        <v/>
      </c>
      <c r="Y97" s="30" t="str">
        <f aca="false">IF(OR($D97="",$E97=""),"",IF(AND($D97&lt;=Y$4+4,$E97&gt;=Y$4),1,""))</f>
        <v/>
      </c>
      <c r="Z97" s="30" t="str">
        <f aca="false">IF(OR($D97="",$E97=""),"",IF(AND($D97&lt;=Z$4+4,$E97&gt;=Z$4),1,""))</f>
        <v/>
      </c>
      <c r="AA97" s="30" t="str">
        <f aca="false">IF(OR($D97="",$E97=""),"",IF(AND($D97&lt;=AA$4+4,$E97&gt;=AA$4),1,""))</f>
        <v/>
      </c>
      <c r="AB97" s="30" t="str">
        <f aca="false">IF(OR($D97="",$E97=""),"",IF(AND($D97&lt;=AB$4+4,$E97&gt;=AB$4),1,""))</f>
        <v/>
      </c>
      <c r="AC97" s="30" t="str">
        <f aca="false">IF(OR($D97="",$E97=""),"",IF(AND($D97&lt;=AC$4+4,$E97&gt;=AC$4),1,""))</f>
        <v/>
      </c>
      <c r="AD97" s="30" t="str">
        <f aca="false">IF(OR($D97="",$E97=""),"",IF(AND($D97&lt;=AD$4+4,$E97&gt;=AD$4),1,""))</f>
        <v/>
      </c>
      <c r="AE97" s="30" t="str">
        <f aca="false">IF(OR($D97="",$E97=""),"",IF(AND($D97&lt;=AE$4+4,$E97&gt;=AE$4),1,""))</f>
        <v/>
      </c>
    </row>
    <row r="98" customFormat="false" ht="15" hidden="false" customHeight="false" outlineLevel="0" collapsed="false">
      <c r="A98" s="28" t="n">
        <v>92</v>
      </c>
      <c r="B98" s="14" t="str">
        <f aca="false">IFERROR(INDEX(Tablero!$A$5:$A$104,MATCH($A98,Tablero!$J$5:$J$104,0))&amp;"","")</f>
        <v/>
      </c>
      <c r="C98" s="14" t="str">
        <f aca="false">IFERROR(INDEX(Tablero!$B$5:$B$104,MATCH($A98,Tablero!$J$5:$J$104,0))&amp;"","")</f>
        <v/>
      </c>
      <c r="D98" s="29" t="str">
        <f aca="false">IFERROR(INDEX(Tablero!$R$5:$R$104,MATCH($A98,Tablero!$J$5:$J$104,0)),"")</f>
        <v/>
      </c>
      <c r="E98" s="29" t="str">
        <f aca="false">IFERROR(INDEX(Tablero!$S$5:$S$104,MATCH($A98,Tablero!$J$5:$J$104,0)),"")</f>
        <v/>
      </c>
      <c r="F98" s="30" t="str">
        <f aca="false">IF(OR($D98="",$E98=""),"",IF(AND($D98&lt;=F$4+4,$E98&gt;=F$4),1,""))</f>
        <v/>
      </c>
      <c r="G98" s="30" t="str">
        <f aca="false">IF(OR($D98="",$E98=""),"",IF(AND($D98&lt;=G$4+4,$E98&gt;=G$4),1,""))</f>
        <v/>
      </c>
      <c r="H98" s="30" t="str">
        <f aca="false">IF(OR($D98="",$E98=""),"",IF(AND($D98&lt;=H$4+4,$E98&gt;=H$4),1,""))</f>
        <v/>
      </c>
      <c r="I98" s="30" t="str">
        <f aca="false">IF(OR($D98="",$E98=""),"",IF(AND($D98&lt;=I$4+4,$E98&gt;=I$4),1,""))</f>
        <v/>
      </c>
      <c r="J98" s="30" t="str">
        <f aca="false">IF(OR($D98="",$E98=""),"",IF(AND($D98&lt;=J$4+4,$E98&gt;=J$4),1,""))</f>
        <v/>
      </c>
      <c r="K98" s="30" t="str">
        <f aca="false">IF(OR($D98="",$E98=""),"",IF(AND($D98&lt;=K$4+4,$E98&gt;=K$4),1,""))</f>
        <v/>
      </c>
      <c r="L98" s="30" t="str">
        <f aca="false">IF(OR($D98="",$E98=""),"",IF(AND($D98&lt;=L$4+4,$E98&gt;=L$4),1,""))</f>
        <v/>
      </c>
      <c r="M98" s="30" t="str">
        <f aca="false">IF(OR($D98="",$E98=""),"",IF(AND($D98&lt;=M$4+4,$E98&gt;=M$4),1,""))</f>
        <v/>
      </c>
      <c r="N98" s="30" t="str">
        <f aca="false">IF(OR($D98="",$E98=""),"",IF(AND($D98&lt;=N$4+4,$E98&gt;=N$4),1,""))</f>
        <v/>
      </c>
      <c r="O98" s="30" t="str">
        <f aca="false">IF(OR($D98="",$E98=""),"",IF(AND($D98&lt;=O$4+4,$E98&gt;=O$4),1,""))</f>
        <v/>
      </c>
      <c r="P98" s="30" t="str">
        <f aca="false">IF(OR($D98="",$E98=""),"",IF(AND($D98&lt;=P$4+4,$E98&gt;=P$4),1,""))</f>
        <v/>
      </c>
      <c r="Q98" s="30" t="str">
        <f aca="false">IF(OR($D98="",$E98=""),"",IF(AND($D98&lt;=Q$4+4,$E98&gt;=Q$4),1,""))</f>
        <v/>
      </c>
      <c r="R98" s="30" t="str">
        <f aca="false">IF(OR($D98="",$E98=""),"",IF(AND($D98&lt;=R$4+4,$E98&gt;=R$4),1,""))</f>
        <v/>
      </c>
      <c r="S98" s="30" t="str">
        <f aca="false">IF(OR($D98="",$E98=""),"",IF(AND($D98&lt;=S$4+4,$E98&gt;=S$4),1,""))</f>
        <v/>
      </c>
      <c r="T98" s="30" t="str">
        <f aca="false">IF(OR($D98="",$E98=""),"",IF(AND($D98&lt;=T$4+4,$E98&gt;=T$4),1,""))</f>
        <v/>
      </c>
      <c r="U98" s="30" t="str">
        <f aca="false">IF(OR($D98="",$E98=""),"",IF(AND($D98&lt;=U$4+4,$E98&gt;=U$4),1,""))</f>
        <v/>
      </c>
      <c r="V98" s="30" t="str">
        <f aca="false">IF(OR($D98="",$E98=""),"",IF(AND($D98&lt;=V$4+4,$E98&gt;=V$4),1,""))</f>
        <v/>
      </c>
      <c r="W98" s="30" t="str">
        <f aca="false">IF(OR($D98="",$E98=""),"",IF(AND($D98&lt;=W$4+4,$E98&gt;=W$4),1,""))</f>
        <v/>
      </c>
      <c r="X98" s="30" t="str">
        <f aca="false">IF(OR($D98="",$E98=""),"",IF(AND($D98&lt;=X$4+4,$E98&gt;=X$4),1,""))</f>
        <v/>
      </c>
      <c r="Y98" s="30" t="str">
        <f aca="false">IF(OR($D98="",$E98=""),"",IF(AND($D98&lt;=Y$4+4,$E98&gt;=Y$4),1,""))</f>
        <v/>
      </c>
      <c r="Z98" s="30" t="str">
        <f aca="false">IF(OR($D98="",$E98=""),"",IF(AND($D98&lt;=Z$4+4,$E98&gt;=Z$4),1,""))</f>
        <v/>
      </c>
      <c r="AA98" s="30" t="str">
        <f aca="false">IF(OR($D98="",$E98=""),"",IF(AND($D98&lt;=AA$4+4,$E98&gt;=AA$4),1,""))</f>
        <v/>
      </c>
      <c r="AB98" s="30" t="str">
        <f aca="false">IF(OR($D98="",$E98=""),"",IF(AND($D98&lt;=AB$4+4,$E98&gt;=AB$4),1,""))</f>
        <v/>
      </c>
      <c r="AC98" s="30" t="str">
        <f aca="false">IF(OR($D98="",$E98=""),"",IF(AND($D98&lt;=AC$4+4,$E98&gt;=AC$4),1,""))</f>
        <v/>
      </c>
      <c r="AD98" s="30" t="str">
        <f aca="false">IF(OR($D98="",$E98=""),"",IF(AND($D98&lt;=AD$4+4,$E98&gt;=AD$4),1,""))</f>
        <v/>
      </c>
      <c r="AE98" s="30" t="str">
        <f aca="false">IF(OR($D98="",$E98=""),"",IF(AND($D98&lt;=AE$4+4,$E98&gt;=AE$4),1,""))</f>
        <v/>
      </c>
    </row>
    <row r="99" customFormat="false" ht="15" hidden="false" customHeight="false" outlineLevel="0" collapsed="false">
      <c r="A99" s="28" t="n">
        <v>93</v>
      </c>
      <c r="B99" s="14" t="str">
        <f aca="false">IFERROR(INDEX(Tablero!$A$5:$A$104,MATCH($A99,Tablero!$J$5:$J$104,0))&amp;"","")</f>
        <v/>
      </c>
      <c r="C99" s="14" t="str">
        <f aca="false">IFERROR(INDEX(Tablero!$B$5:$B$104,MATCH($A99,Tablero!$J$5:$J$104,0))&amp;"","")</f>
        <v/>
      </c>
      <c r="D99" s="29" t="str">
        <f aca="false">IFERROR(INDEX(Tablero!$R$5:$R$104,MATCH($A99,Tablero!$J$5:$J$104,0)),"")</f>
        <v/>
      </c>
      <c r="E99" s="29" t="str">
        <f aca="false">IFERROR(INDEX(Tablero!$S$5:$S$104,MATCH($A99,Tablero!$J$5:$J$104,0)),"")</f>
        <v/>
      </c>
      <c r="F99" s="30" t="str">
        <f aca="false">IF(OR($D99="",$E99=""),"",IF(AND($D99&lt;=F$4+4,$E99&gt;=F$4),1,""))</f>
        <v/>
      </c>
      <c r="G99" s="30" t="str">
        <f aca="false">IF(OR($D99="",$E99=""),"",IF(AND($D99&lt;=G$4+4,$E99&gt;=G$4),1,""))</f>
        <v/>
      </c>
      <c r="H99" s="30" t="str">
        <f aca="false">IF(OR($D99="",$E99=""),"",IF(AND($D99&lt;=H$4+4,$E99&gt;=H$4),1,""))</f>
        <v/>
      </c>
      <c r="I99" s="30" t="str">
        <f aca="false">IF(OR($D99="",$E99=""),"",IF(AND($D99&lt;=I$4+4,$E99&gt;=I$4),1,""))</f>
        <v/>
      </c>
      <c r="J99" s="30" t="str">
        <f aca="false">IF(OR($D99="",$E99=""),"",IF(AND($D99&lt;=J$4+4,$E99&gt;=J$4),1,""))</f>
        <v/>
      </c>
      <c r="K99" s="30" t="str">
        <f aca="false">IF(OR($D99="",$E99=""),"",IF(AND($D99&lt;=K$4+4,$E99&gt;=K$4),1,""))</f>
        <v/>
      </c>
      <c r="L99" s="30" t="str">
        <f aca="false">IF(OR($D99="",$E99=""),"",IF(AND($D99&lt;=L$4+4,$E99&gt;=L$4),1,""))</f>
        <v/>
      </c>
      <c r="M99" s="30" t="str">
        <f aca="false">IF(OR($D99="",$E99=""),"",IF(AND($D99&lt;=M$4+4,$E99&gt;=M$4),1,""))</f>
        <v/>
      </c>
      <c r="N99" s="30" t="str">
        <f aca="false">IF(OR($D99="",$E99=""),"",IF(AND($D99&lt;=N$4+4,$E99&gt;=N$4),1,""))</f>
        <v/>
      </c>
      <c r="O99" s="30" t="str">
        <f aca="false">IF(OR($D99="",$E99=""),"",IF(AND($D99&lt;=O$4+4,$E99&gt;=O$4),1,""))</f>
        <v/>
      </c>
      <c r="P99" s="30" t="str">
        <f aca="false">IF(OR($D99="",$E99=""),"",IF(AND($D99&lt;=P$4+4,$E99&gt;=P$4),1,""))</f>
        <v/>
      </c>
      <c r="Q99" s="30" t="str">
        <f aca="false">IF(OR($D99="",$E99=""),"",IF(AND($D99&lt;=Q$4+4,$E99&gt;=Q$4),1,""))</f>
        <v/>
      </c>
      <c r="R99" s="30" t="str">
        <f aca="false">IF(OR($D99="",$E99=""),"",IF(AND($D99&lt;=R$4+4,$E99&gt;=R$4),1,""))</f>
        <v/>
      </c>
      <c r="S99" s="30" t="str">
        <f aca="false">IF(OR($D99="",$E99=""),"",IF(AND($D99&lt;=S$4+4,$E99&gt;=S$4),1,""))</f>
        <v/>
      </c>
      <c r="T99" s="30" t="str">
        <f aca="false">IF(OR($D99="",$E99=""),"",IF(AND($D99&lt;=T$4+4,$E99&gt;=T$4),1,""))</f>
        <v/>
      </c>
      <c r="U99" s="30" t="str">
        <f aca="false">IF(OR($D99="",$E99=""),"",IF(AND($D99&lt;=U$4+4,$E99&gt;=U$4),1,""))</f>
        <v/>
      </c>
      <c r="V99" s="30" t="str">
        <f aca="false">IF(OR($D99="",$E99=""),"",IF(AND($D99&lt;=V$4+4,$E99&gt;=V$4),1,""))</f>
        <v/>
      </c>
      <c r="W99" s="30" t="str">
        <f aca="false">IF(OR($D99="",$E99=""),"",IF(AND($D99&lt;=W$4+4,$E99&gt;=W$4),1,""))</f>
        <v/>
      </c>
      <c r="X99" s="30" t="str">
        <f aca="false">IF(OR($D99="",$E99=""),"",IF(AND($D99&lt;=X$4+4,$E99&gt;=X$4),1,""))</f>
        <v/>
      </c>
      <c r="Y99" s="30" t="str">
        <f aca="false">IF(OR($D99="",$E99=""),"",IF(AND($D99&lt;=Y$4+4,$E99&gt;=Y$4),1,""))</f>
        <v/>
      </c>
      <c r="Z99" s="30" t="str">
        <f aca="false">IF(OR($D99="",$E99=""),"",IF(AND($D99&lt;=Z$4+4,$E99&gt;=Z$4),1,""))</f>
        <v/>
      </c>
      <c r="AA99" s="30" t="str">
        <f aca="false">IF(OR($D99="",$E99=""),"",IF(AND($D99&lt;=AA$4+4,$E99&gt;=AA$4),1,""))</f>
        <v/>
      </c>
      <c r="AB99" s="30" t="str">
        <f aca="false">IF(OR($D99="",$E99=""),"",IF(AND($D99&lt;=AB$4+4,$E99&gt;=AB$4),1,""))</f>
        <v/>
      </c>
      <c r="AC99" s="30" t="str">
        <f aca="false">IF(OR($D99="",$E99=""),"",IF(AND($D99&lt;=AC$4+4,$E99&gt;=AC$4),1,""))</f>
        <v/>
      </c>
      <c r="AD99" s="30" t="str">
        <f aca="false">IF(OR($D99="",$E99=""),"",IF(AND($D99&lt;=AD$4+4,$E99&gt;=AD$4),1,""))</f>
        <v/>
      </c>
      <c r="AE99" s="30" t="str">
        <f aca="false">IF(OR($D99="",$E99=""),"",IF(AND($D99&lt;=AE$4+4,$E99&gt;=AE$4),1,""))</f>
        <v/>
      </c>
    </row>
    <row r="100" customFormat="false" ht="15" hidden="false" customHeight="false" outlineLevel="0" collapsed="false">
      <c r="A100" s="28" t="n">
        <v>94</v>
      </c>
      <c r="B100" s="14" t="str">
        <f aca="false">IFERROR(INDEX(Tablero!$A$5:$A$104,MATCH($A100,Tablero!$J$5:$J$104,0))&amp;"","")</f>
        <v/>
      </c>
      <c r="C100" s="14" t="str">
        <f aca="false">IFERROR(INDEX(Tablero!$B$5:$B$104,MATCH($A100,Tablero!$J$5:$J$104,0))&amp;"","")</f>
        <v/>
      </c>
      <c r="D100" s="29" t="str">
        <f aca="false">IFERROR(INDEX(Tablero!$R$5:$R$104,MATCH($A100,Tablero!$J$5:$J$104,0)),"")</f>
        <v/>
      </c>
      <c r="E100" s="29" t="str">
        <f aca="false">IFERROR(INDEX(Tablero!$S$5:$S$104,MATCH($A100,Tablero!$J$5:$J$104,0)),"")</f>
        <v/>
      </c>
      <c r="F100" s="30" t="str">
        <f aca="false">IF(OR($D100="",$E100=""),"",IF(AND($D100&lt;=F$4+4,$E100&gt;=F$4),1,""))</f>
        <v/>
      </c>
      <c r="G100" s="30" t="str">
        <f aca="false">IF(OR($D100="",$E100=""),"",IF(AND($D100&lt;=G$4+4,$E100&gt;=G$4),1,""))</f>
        <v/>
      </c>
      <c r="H100" s="30" t="str">
        <f aca="false">IF(OR($D100="",$E100=""),"",IF(AND($D100&lt;=H$4+4,$E100&gt;=H$4),1,""))</f>
        <v/>
      </c>
      <c r="I100" s="30" t="str">
        <f aca="false">IF(OR($D100="",$E100=""),"",IF(AND($D100&lt;=I$4+4,$E100&gt;=I$4),1,""))</f>
        <v/>
      </c>
      <c r="J100" s="30" t="str">
        <f aca="false">IF(OR($D100="",$E100=""),"",IF(AND($D100&lt;=J$4+4,$E100&gt;=J$4),1,""))</f>
        <v/>
      </c>
      <c r="K100" s="30" t="str">
        <f aca="false">IF(OR($D100="",$E100=""),"",IF(AND($D100&lt;=K$4+4,$E100&gt;=K$4),1,""))</f>
        <v/>
      </c>
      <c r="L100" s="30" t="str">
        <f aca="false">IF(OR($D100="",$E100=""),"",IF(AND($D100&lt;=L$4+4,$E100&gt;=L$4),1,""))</f>
        <v/>
      </c>
      <c r="M100" s="30" t="str">
        <f aca="false">IF(OR($D100="",$E100=""),"",IF(AND($D100&lt;=M$4+4,$E100&gt;=M$4),1,""))</f>
        <v/>
      </c>
      <c r="N100" s="30" t="str">
        <f aca="false">IF(OR($D100="",$E100=""),"",IF(AND($D100&lt;=N$4+4,$E100&gt;=N$4),1,""))</f>
        <v/>
      </c>
      <c r="O100" s="30" t="str">
        <f aca="false">IF(OR($D100="",$E100=""),"",IF(AND($D100&lt;=O$4+4,$E100&gt;=O$4),1,""))</f>
        <v/>
      </c>
      <c r="P100" s="30" t="str">
        <f aca="false">IF(OR($D100="",$E100=""),"",IF(AND($D100&lt;=P$4+4,$E100&gt;=P$4),1,""))</f>
        <v/>
      </c>
      <c r="Q100" s="30" t="str">
        <f aca="false">IF(OR($D100="",$E100=""),"",IF(AND($D100&lt;=Q$4+4,$E100&gt;=Q$4),1,""))</f>
        <v/>
      </c>
      <c r="R100" s="30" t="str">
        <f aca="false">IF(OR($D100="",$E100=""),"",IF(AND($D100&lt;=R$4+4,$E100&gt;=R$4),1,""))</f>
        <v/>
      </c>
      <c r="S100" s="30" t="str">
        <f aca="false">IF(OR($D100="",$E100=""),"",IF(AND($D100&lt;=S$4+4,$E100&gt;=S$4),1,""))</f>
        <v/>
      </c>
      <c r="T100" s="30" t="str">
        <f aca="false">IF(OR($D100="",$E100=""),"",IF(AND($D100&lt;=T$4+4,$E100&gt;=T$4),1,""))</f>
        <v/>
      </c>
      <c r="U100" s="30" t="str">
        <f aca="false">IF(OR($D100="",$E100=""),"",IF(AND($D100&lt;=U$4+4,$E100&gt;=U$4),1,""))</f>
        <v/>
      </c>
      <c r="V100" s="30" t="str">
        <f aca="false">IF(OR($D100="",$E100=""),"",IF(AND($D100&lt;=V$4+4,$E100&gt;=V$4),1,""))</f>
        <v/>
      </c>
      <c r="W100" s="30" t="str">
        <f aca="false">IF(OR($D100="",$E100=""),"",IF(AND($D100&lt;=W$4+4,$E100&gt;=W$4),1,""))</f>
        <v/>
      </c>
      <c r="X100" s="30" t="str">
        <f aca="false">IF(OR($D100="",$E100=""),"",IF(AND($D100&lt;=X$4+4,$E100&gt;=X$4),1,""))</f>
        <v/>
      </c>
      <c r="Y100" s="30" t="str">
        <f aca="false">IF(OR($D100="",$E100=""),"",IF(AND($D100&lt;=Y$4+4,$E100&gt;=Y$4),1,""))</f>
        <v/>
      </c>
      <c r="Z100" s="30" t="str">
        <f aca="false">IF(OR($D100="",$E100=""),"",IF(AND($D100&lt;=Z$4+4,$E100&gt;=Z$4),1,""))</f>
        <v/>
      </c>
      <c r="AA100" s="30" t="str">
        <f aca="false">IF(OR($D100="",$E100=""),"",IF(AND($D100&lt;=AA$4+4,$E100&gt;=AA$4),1,""))</f>
        <v/>
      </c>
      <c r="AB100" s="30" t="str">
        <f aca="false">IF(OR($D100="",$E100=""),"",IF(AND($D100&lt;=AB$4+4,$E100&gt;=AB$4),1,""))</f>
        <v/>
      </c>
      <c r="AC100" s="30" t="str">
        <f aca="false">IF(OR($D100="",$E100=""),"",IF(AND($D100&lt;=AC$4+4,$E100&gt;=AC$4),1,""))</f>
        <v/>
      </c>
      <c r="AD100" s="30" t="str">
        <f aca="false">IF(OR($D100="",$E100=""),"",IF(AND($D100&lt;=AD$4+4,$E100&gt;=AD$4),1,""))</f>
        <v/>
      </c>
      <c r="AE100" s="30" t="str">
        <f aca="false">IF(OR($D100="",$E100=""),"",IF(AND($D100&lt;=AE$4+4,$E100&gt;=AE$4),1,""))</f>
        <v/>
      </c>
    </row>
    <row r="101" customFormat="false" ht="15" hidden="false" customHeight="false" outlineLevel="0" collapsed="false">
      <c r="A101" s="28" t="n">
        <v>95</v>
      </c>
      <c r="B101" s="14" t="str">
        <f aca="false">IFERROR(INDEX(Tablero!$A$5:$A$104,MATCH($A101,Tablero!$J$5:$J$104,0))&amp;"","")</f>
        <v/>
      </c>
      <c r="C101" s="14" t="str">
        <f aca="false">IFERROR(INDEX(Tablero!$B$5:$B$104,MATCH($A101,Tablero!$J$5:$J$104,0))&amp;"","")</f>
        <v/>
      </c>
      <c r="D101" s="29" t="str">
        <f aca="false">IFERROR(INDEX(Tablero!$R$5:$R$104,MATCH($A101,Tablero!$J$5:$J$104,0)),"")</f>
        <v/>
      </c>
      <c r="E101" s="29" t="str">
        <f aca="false">IFERROR(INDEX(Tablero!$S$5:$S$104,MATCH($A101,Tablero!$J$5:$J$104,0)),"")</f>
        <v/>
      </c>
      <c r="F101" s="30" t="str">
        <f aca="false">IF(OR($D101="",$E101=""),"",IF(AND($D101&lt;=F$4+4,$E101&gt;=F$4),1,""))</f>
        <v/>
      </c>
      <c r="G101" s="30" t="str">
        <f aca="false">IF(OR($D101="",$E101=""),"",IF(AND($D101&lt;=G$4+4,$E101&gt;=G$4),1,""))</f>
        <v/>
      </c>
      <c r="H101" s="30" t="str">
        <f aca="false">IF(OR($D101="",$E101=""),"",IF(AND($D101&lt;=H$4+4,$E101&gt;=H$4),1,""))</f>
        <v/>
      </c>
      <c r="I101" s="30" t="str">
        <f aca="false">IF(OR($D101="",$E101=""),"",IF(AND($D101&lt;=I$4+4,$E101&gt;=I$4),1,""))</f>
        <v/>
      </c>
      <c r="J101" s="30" t="str">
        <f aca="false">IF(OR($D101="",$E101=""),"",IF(AND($D101&lt;=J$4+4,$E101&gt;=J$4),1,""))</f>
        <v/>
      </c>
      <c r="K101" s="30" t="str">
        <f aca="false">IF(OR($D101="",$E101=""),"",IF(AND($D101&lt;=K$4+4,$E101&gt;=K$4),1,""))</f>
        <v/>
      </c>
      <c r="L101" s="30" t="str">
        <f aca="false">IF(OR($D101="",$E101=""),"",IF(AND($D101&lt;=L$4+4,$E101&gt;=L$4),1,""))</f>
        <v/>
      </c>
      <c r="M101" s="30" t="str">
        <f aca="false">IF(OR($D101="",$E101=""),"",IF(AND($D101&lt;=M$4+4,$E101&gt;=M$4),1,""))</f>
        <v/>
      </c>
      <c r="N101" s="30" t="str">
        <f aca="false">IF(OR($D101="",$E101=""),"",IF(AND($D101&lt;=N$4+4,$E101&gt;=N$4),1,""))</f>
        <v/>
      </c>
      <c r="O101" s="30" t="str">
        <f aca="false">IF(OR($D101="",$E101=""),"",IF(AND($D101&lt;=O$4+4,$E101&gt;=O$4),1,""))</f>
        <v/>
      </c>
      <c r="P101" s="30" t="str">
        <f aca="false">IF(OR($D101="",$E101=""),"",IF(AND($D101&lt;=P$4+4,$E101&gt;=P$4),1,""))</f>
        <v/>
      </c>
      <c r="Q101" s="30" t="str">
        <f aca="false">IF(OR($D101="",$E101=""),"",IF(AND($D101&lt;=Q$4+4,$E101&gt;=Q$4),1,""))</f>
        <v/>
      </c>
      <c r="R101" s="30" t="str">
        <f aca="false">IF(OR($D101="",$E101=""),"",IF(AND($D101&lt;=R$4+4,$E101&gt;=R$4),1,""))</f>
        <v/>
      </c>
      <c r="S101" s="30" t="str">
        <f aca="false">IF(OR($D101="",$E101=""),"",IF(AND($D101&lt;=S$4+4,$E101&gt;=S$4),1,""))</f>
        <v/>
      </c>
      <c r="T101" s="30" t="str">
        <f aca="false">IF(OR($D101="",$E101=""),"",IF(AND($D101&lt;=T$4+4,$E101&gt;=T$4),1,""))</f>
        <v/>
      </c>
      <c r="U101" s="30" t="str">
        <f aca="false">IF(OR($D101="",$E101=""),"",IF(AND($D101&lt;=U$4+4,$E101&gt;=U$4),1,""))</f>
        <v/>
      </c>
      <c r="V101" s="30" t="str">
        <f aca="false">IF(OR($D101="",$E101=""),"",IF(AND($D101&lt;=V$4+4,$E101&gt;=V$4),1,""))</f>
        <v/>
      </c>
      <c r="W101" s="30" t="str">
        <f aca="false">IF(OR($D101="",$E101=""),"",IF(AND($D101&lt;=W$4+4,$E101&gt;=W$4),1,""))</f>
        <v/>
      </c>
      <c r="X101" s="30" t="str">
        <f aca="false">IF(OR($D101="",$E101=""),"",IF(AND($D101&lt;=X$4+4,$E101&gt;=X$4),1,""))</f>
        <v/>
      </c>
      <c r="Y101" s="30" t="str">
        <f aca="false">IF(OR($D101="",$E101=""),"",IF(AND($D101&lt;=Y$4+4,$E101&gt;=Y$4),1,""))</f>
        <v/>
      </c>
      <c r="Z101" s="30" t="str">
        <f aca="false">IF(OR($D101="",$E101=""),"",IF(AND($D101&lt;=Z$4+4,$E101&gt;=Z$4),1,""))</f>
        <v/>
      </c>
      <c r="AA101" s="30" t="str">
        <f aca="false">IF(OR($D101="",$E101=""),"",IF(AND($D101&lt;=AA$4+4,$E101&gt;=AA$4),1,""))</f>
        <v/>
      </c>
      <c r="AB101" s="30" t="str">
        <f aca="false">IF(OR($D101="",$E101=""),"",IF(AND($D101&lt;=AB$4+4,$E101&gt;=AB$4),1,""))</f>
        <v/>
      </c>
      <c r="AC101" s="30" t="str">
        <f aca="false">IF(OR($D101="",$E101=""),"",IF(AND($D101&lt;=AC$4+4,$E101&gt;=AC$4),1,""))</f>
        <v/>
      </c>
      <c r="AD101" s="30" t="str">
        <f aca="false">IF(OR($D101="",$E101=""),"",IF(AND($D101&lt;=AD$4+4,$E101&gt;=AD$4),1,""))</f>
        <v/>
      </c>
      <c r="AE101" s="30" t="str">
        <f aca="false">IF(OR($D101="",$E101=""),"",IF(AND($D101&lt;=AE$4+4,$E101&gt;=AE$4),1,""))</f>
        <v/>
      </c>
    </row>
    <row r="102" customFormat="false" ht="15" hidden="false" customHeight="false" outlineLevel="0" collapsed="false">
      <c r="A102" s="28" t="n">
        <v>96</v>
      </c>
      <c r="B102" s="14" t="str">
        <f aca="false">IFERROR(INDEX(Tablero!$A$5:$A$104,MATCH($A102,Tablero!$J$5:$J$104,0))&amp;"","")</f>
        <v/>
      </c>
      <c r="C102" s="14" t="str">
        <f aca="false">IFERROR(INDEX(Tablero!$B$5:$B$104,MATCH($A102,Tablero!$J$5:$J$104,0))&amp;"","")</f>
        <v/>
      </c>
      <c r="D102" s="29" t="str">
        <f aca="false">IFERROR(INDEX(Tablero!$R$5:$R$104,MATCH($A102,Tablero!$J$5:$J$104,0)),"")</f>
        <v/>
      </c>
      <c r="E102" s="29" t="str">
        <f aca="false">IFERROR(INDEX(Tablero!$S$5:$S$104,MATCH($A102,Tablero!$J$5:$J$104,0)),"")</f>
        <v/>
      </c>
      <c r="F102" s="30" t="str">
        <f aca="false">IF(OR($D102="",$E102=""),"",IF(AND($D102&lt;=F$4+4,$E102&gt;=F$4),1,""))</f>
        <v/>
      </c>
      <c r="G102" s="30" t="str">
        <f aca="false">IF(OR($D102="",$E102=""),"",IF(AND($D102&lt;=G$4+4,$E102&gt;=G$4),1,""))</f>
        <v/>
      </c>
      <c r="H102" s="30" t="str">
        <f aca="false">IF(OR($D102="",$E102=""),"",IF(AND($D102&lt;=H$4+4,$E102&gt;=H$4),1,""))</f>
        <v/>
      </c>
      <c r="I102" s="30" t="str">
        <f aca="false">IF(OR($D102="",$E102=""),"",IF(AND($D102&lt;=I$4+4,$E102&gt;=I$4),1,""))</f>
        <v/>
      </c>
      <c r="J102" s="30" t="str">
        <f aca="false">IF(OR($D102="",$E102=""),"",IF(AND($D102&lt;=J$4+4,$E102&gt;=J$4),1,""))</f>
        <v/>
      </c>
      <c r="K102" s="30" t="str">
        <f aca="false">IF(OR($D102="",$E102=""),"",IF(AND($D102&lt;=K$4+4,$E102&gt;=K$4),1,""))</f>
        <v/>
      </c>
      <c r="L102" s="30" t="str">
        <f aca="false">IF(OR($D102="",$E102=""),"",IF(AND($D102&lt;=L$4+4,$E102&gt;=L$4),1,""))</f>
        <v/>
      </c>
      <c r="M102" s="30" t="str">
        <f aca="false">IF(OR($D102="",$E102=""),"",IF(AND($D102&lt;=M$4+4,$E102&gt;=M$4),1,""))</f>
        <v/>
      </c>
      <c r="N102" s="30" t="str">
        <f aca="false">IF(OR($D102="",$E102=""),"",IF(AND($D102&lt;=N$4+4,$E102&gt;=N$4),1,""))</f>
        <v/>
      </c>
      <c r="O102" s="30" t="str">
        <f aca="false">IF(OR($D102="",$E102=""),"",IF(AND($D102&lt;=O$4+4,$E102&gt;=O$4),1,""))</f>
        <v/>
      </c>
      <c r="P102" s="30" t="str">
        <f aca="false">IF(OR($D102="",$E102=""),"",IF(AND($D102&lt;=P$4+4,$E102&gt;=P$4),1,""))</f>
        <v/>
      </c>
      <c r="Q102" s="30" t="str">
        <f aca="false">IF(OR($D102="",$E102=""),"",IF(AND($D102&lt;=Q$4+4,$E102&gt;=Q$4),1,""))</f>
        <v/>
      </c>
      <c r="R102" s="30" t="str">
        <f aca="false">IF(OR($D102="",$E102=""),"",IF(AND($D102&lt;=R$4+4,$E102&gt;=R$4),1,""))</f>
        <v/>
      </c>
      <c r="S102" s="30" t="str">
        <f aca="false">IF(OR($D102="",$E102=""),"",IF(AND($D102&lt;=S$4+4,$E102&gt;=S$4),1,""))</f>
        <v/>
      </c>
      <c r="T102" s="30" t="str">
        <f aca="false">IF(OR($D102="",$E102=""),"",IF(AND($D102&lt;=T$4+4,$E102&gt;=T$4),1,""))</f>
        <v/>
      </c>
      <c r="U102" s="30" t="str">
        <f aca="false">IF(OR($D102="",$E102=""),"",IF(AND($D102&lt;=U$4+4,$E102&gt;=U$4),1,""))</f>
        <v/>
      </c>
      <c r="V102" s="30" t="str">
        <f aca="false">IF(OR($D102="",$E102=""),"",IF(AND($D102&lt;=V$4+4,$E102&gt;=V$4),1,""))</f>
        <v/>
      </c>
      <c r="W102" s="30" t="str">
        <f aca="false">IF(OR($D102="",$E102=""),"",IF(AND($D102&lt;=W$4+4,$E102&gt;=W$4),1,""))</f>
        <v/>
      </c>
      <c r="X102" s="30" t="str">
        <f aca="false">IF(OR($D102="",$E102=""),"",IF(AND($D102&lt;=X$4+4,$E102&gt;=X$4),1,""))</f>
        <v/>
      </c>
      <c r="Y102" s="30" t="str">
        <f aca="false">IF(OR($D102="",$E102=""),"",IF(AND($D102&lt;=Y$4+4,$E102&gt;=Y$4),1,""))</f>
        <v/>
      </c>
      <c r="Z102" s="30" t="str">
        <f aca="false">IF(OR($D102="",$E102=""),"",IF(AND($D102&lt;=Z$4+4,$E102&gt;=Z$4),1,""))</f>
        <v/>
      </c>
      <c r="AA102" s="30" t="str">
        <f aca="false">IF(OR($D102="",$E102=""),"",IF(AND($D102&lt;=AA$4+4,$E102&gt;=AA$4),1,""))</f>
        <v/>
      </c>
      <c r="AB102" s="30" t="str">
        <f aca="false">IF(OR($D102="",$E102=""),"",IF(AND($D102&lt;=AB$4+4,$E102&gt;=AB$4),1,""))</f>
        <v/>
      </c>
      <c r="AC102" s="30" t="str">
        <f aca="false">IF(OR($D102="",$E102=""),"",IF(AND($D102&lt;=AC$4+4,$E102&gt;=AC$4),1,""))</f>
        <v/>
      </c>
      <c r="AD102" s="30" t="str">
        <f aca="false">IF(OR($D102="",$E102=""),"",IF(AND($D102&lt;=AD$4+4,$E102&gt;=AD$4),1,""))</f>
        <v/>
      </c>
      <c r="AE102" s="30" t="str">
        <f aca="false">IF(OR($D102="",$E102=""),"",IF(AND($D102&lt;=AE$4+4,$E102&gt;=AE$4),1,""))</f>
        <v/>
      </c>
    </row>
    <row r="103" customFormat="false" ht="15" hidden="false" customHeight="false" outlineLevel="0" collapsed="false">
      <c r="A103" s="28" t="n">
        <v>97</v>
      </c>
      <c r="B103" s="14" t="str">
        <f aca="false">IFERROR(INDEX(Tablero!$A$5:$A$104,MATCH($A103,Tablero!$J$5:$J$104,0))&amp;"","")</f>
        <v/>
      </c>
      <c r="C103" s="14" t="str">
        <f aca="false">IFERROR(INDEX(Tablero!$B$5:$B$104,MATCH($A103,Tablero!$J$5:$J$104,0))&amp;"","")</f>
        <v/>
      </c>
      <c r="D103" s="29" t="str">
        <f aca="false">IFERROR(INDEX(Tablero!$R$5:$R$104,MATCH($A103,Tablero!$J$5:$J$104,0)),"")</f>
        <v/>
      </c>
      <c r="E103" s="29" t="str">
        <f aca="false">IFERROR(INDEX(Tablero!$S$5:$S$104,MATCH($A103,Tablero!$J$5:$J$104,0)),"")</f>
        <v/>
      </c>
      <c r="F103" s="30" t="str">
        <f aca="false">IF(OR($D103="",$E103=""),"",IF(AND($D103&lt;=F$4+4,$E103&gt;=F$4),1,""))</f>
        <v/>
      </c>
      <c r="G103" s="30" t="str">
        <f aca="false">IF(OR($D103="",$E103=""),"",IF(AND($D103&lt;=G$4+4,$E103&gt;=G$4),1,""))</f>
        <v/>
      </c>
      <c r="H103" s="30" t="str">
        <f aca="false">IF(OR($D103="",$E103=""),"",IF(AND($D103&lt;=H$4+4,$E103&gt;=H$4),1,""))</f>
        <v/>
      </c>
      <c r="I103" s="30" t="str">
        <f aca="false">IF(OR($D103="",$E103=""),"",IF(AND($D103&lt;=I$4+4,$E103&gt;=I$4),1,""))</f>
        <v/>
      </c>
      <c r="J103" s="30" t="str">
        <f aca="false">IF(OR($D103="",$E103=""),"",IF(AND($D103&lt;=J$4+4,$E103&gt;=J$4),1,""))</f>
        <v/>
      </c>
      <c r="K103" s="30" t="str">
        <f aca="false">IF(OR($D103="",$E103=""),"",IF(AND($D103&lt;=K$4+4,$E103&gt;=K$4),1,""))</f>
        <v/>
      </c>
      <c r="L103" s="30" t="str">
        <f aca="false">IF(OR($D103="",$E103=""),"",IF(AND($D103&lt;=L$4+4,$E103&gt;=L$4),1,""))</f>
        <v/>
      </c>
      <c r="M103" s="30" t="str">
        <f aca="false">IF(OR($D103="",$E103=""),"",IF(AND($D103&lt;=M$4+4,$E103&gt;=M$4),1,""))</f>
        <v/>
      </c>
      <c r="N103" s="30" t="str">
        <f aca="false">IF(OR($D103="",$E103=""),"",IF(AND($D103&lt;=N$4+4,$E103&gt;=N$4),1,""))</f>
        <v/>
      </c>
      <c r="O103" s="30" t="str">
        <f aca="false">IF(OR($D103="",$E103=""),"",IF(AND($D103&lt;=O$4+4,$E103&gt;=O$4),1,""))</f>
        <v/>
      </c>
      <c r="P103" s="30" t="str">
        <f aca="false">IF(OR($D103="",$E103=""),"",IF(AND($D103&lt;=P$4+4,$E103&gt;=P$4),1,""))</f>
        <v/>
      </c>
      <c r="Q103" s="30" t="str">
        <f aca="false">IF(OR($D103="",$E103=""),"",IF(AND($D103&lt;=Q$4+4,$E103&gt;=Q$4),1,""))</f>
        <v/>
      </c>
      <c r="R103" s="30" t="str">
        <f aca="false">IF(OR($D103="",$E103=""),"",IF(AND($D103&lt;=R$4+4,$E103&gt;=R$4),1,""))</f>
        <v/>
      </c>
      <c r="S103" s="30" t="str">
        <f aca="false">IF(OR($D103="",$E103=""),"",IF(AND($D103&lt;=S$4+4,$E103&gt;=S$4),1,""))</f>
        <v/>
      </c>
      <c r="T103" s="30" t="str">
        <f aca="false">IF(OR($D103="",$E103=""),"",IF(AND($D103&lt;=T$4+4,$E103&gt;=T$4),1,""))</f>
        <v/>
      </c>
      <c r="U103" s="30" t="str">
        <f aca="false">IF(OR($D103="",$E103=""),"",IF(AND($D103&lt;=U$4+4,$E103&gt;=U$4),1,""))</f>
        <v/>
      </c>
      <c r="V103" s="30" t="str">
        <f aca="false">IF(OR($D103="",$E103=""),"",IF(AND($D103&lt;=V$4+4,$E103&gt;=V$4),1,""))</f>
        <v/>
      </c>
      <c r="W103" s="30" t="str">
        <f aca="false">IF(OR($D103="",$E103=""),"",IF(AND($D103&lt;=W$4+4,$E103&gt;=W$4),1,""))</f>
        <v/>
      </c>
      <c r="X103" s="30" t="str">
        <f aca="false">IF(OR($D103="",$E103=""),"",IF(AND($D103&lt;=X$4+4,$E103&gt;=X$4),1,""))</f>
        <v/>
      </c>
      <c r="Y103" s="30" t="str">
        <f aca="false">IF(OR($D103="",$E103=""),"",IF(AND($D103&lt;=Y$4+4,$E103&gt;=Y$4),1,""))</f>
        <v/>
      </c>
      <c r="Z103" s="30" t="str">
        <f aca="false">IF(OR($D103="",$E103=""),"",IF(AND($D103&lt;=Z$4+4,$E103&gt;=Z$4),1,""))</f>
        <v/>
      </c>
      <c r="AA103" s="30" t="str">
        <f aca="false">IF(OR($D103="",$E103=""),"",IF(AND($D103&lt;=AA$4+4,$E103&gt;=AA$4),1,""))</f>
        <v/>
      </c>
      <c r="AB103" s="30" t="str">
        <f aca="false">IF(OR($D103="",$E103=""),"",IF(AND($D103&lt;=AB$4+4,$E103&gt;=AB$4),1,""))</f>
        <v/>
      </c>
      <c r="AC103" s="30" t="str">
        <f aca="false">IF(OR($D103="",$E103=""),"",IF(AND($D103&lt;=AC$4+4,$E103&gt;=AC$4),1,""))</f>
        <v/>
      </c>
      <c r="AD103" s="30" t="str">
        <f aca="false">IF(OR($D103="",$E103=""),"",IF(AND($D103&lt;=AD$4+4,$E103&gt;=AD$4),1,""))</f>
        <v/>
      </c>
      <c r="AE103" s="30" t="str">
        <f aca="false">IF(OR($D103="",$E103=""),"",IF(AND($D103&lt;=AE$4+4,$E103&gt;=AE$4),1,""))</f>
        <v/>
      </c>
    </row>
    <row r="104" customFormat="false" ht="15" hidden="false" customHeight="false" outlineLevel="0" collapsed="false">
      <c r="A104" s="28" t="n">
        <v>98</v>
      </c>
      <c r="B104" s="14" t="str">
        <f aca="false">IFERROR(INDEX(Tablero!$A$5:$A$104,MATCH($A104,Tablero!$J$5:$J$104,0))&amp;"","")</f>
        <v/>
      </c>
      <c r="C104" s="14" t="str">
        <f aca="false">IFERROR(INDEX(Tablero!$B$5:$B$104,MATCH($A104,Tablero!$J$5:$J$104,0))&amp;"","")</f>
        <v/>
      </c>
      <c r="D104" s="29" t="str">
        <f aca="false">IFERROR(INDEX(Tablero!$R$5:$R$104,MATCH($A104,Tablero!$J$5:$J$104,0)),"")</f>
        <v/>
      </c>
      <c r="E104" s="29" t="str">
        <f aca="false">IFERROR(INDEX(Tablero!$S$5:$S$104,MATCH($A104,Tablero!$J$5:$J$104,0)),"")</f>
        <v/>
      </c>
      <c r="F104" s="30" t="str">
        <f aca="false">IF(OR($D104="",$E104=""),"",IF(AND($D104&lt;=F$4+4,$E104&gt;=F$4),1,""))</f>
        <v/>
      </c>
      <c r="G104" s="30" t="str">
        <f aca="false">IF(OR($D104="",$E104=""),"",IF(AND($D104&lt;=G$4+4,$E104&gt;=G$4),1,""))</f>
        <v/>
      </c>
      <c r="H104" s="30" t="str">
        <f aca="false">IF(OR($D104="",$E104=""),"",IF(AND($D104&lt;=H$4+4,$E104&gt;=H$4),1,""))</f>
        <v/>
      </c>
      <c r="I104" s="30" t="str">
        <f aca="false">IF(OR($D104="",$E104=""),"",IF(AND($D104&lt;=I$4+4,$E104&gt;=I$4),1,""))</f>
        <v/>
      </c>
      <c r="J104" s="30" t="str">
        <f aca="false">IF(OR($D104="",$E104=""),"",IF(AND($D104&lt;=J$4+4,$E104&gt;=J$4),1,""))</f>
        <v/>
      </c>
      <c r="K104" s="30" t="str">
        <f aca="false">IF(OR($D104="",$E104=""),"",IF(AND($D104&lt;=K$4+4,$E104&gt;=K$4),1,""))</f>
        <v/>
      </c>
      <c r="L104" s="30" t="str">
        <f aca="false">IF(OR($D104="",$E104=""),"",IF(AND($D104&lt;=L$4+4,$E104&gt;=L$4),1,""))</f>
        <v/>
      </c>
      <c r="M104" s="30" t="str">
        <f aca="false">IF(OR($D104="",$E104=""),"",IF(AND($D104&lt;=M$4+4,$E104&gt;=M$4),1,""))</f>
        <v/>
      </c>
      <c r="N104" s="30" t="str">
        <f aca="false">IF(OR($D104="",$E104=""),"",IF(AND($D104&lt;=N$4+4,$E104&gt;=N$4),1,""))</f>
        <v/>
      </c>
      <c r="O104" s="30" t="str">
        <f aca="false">IF(OR($D104="",$E104=""),"",IF(AND($D104&lt;=O$4+4,$E104&gt;=O$4),1,""))</f>
        <v/>
      </c>
      <c r="P104" s="30" t="str">
        <f aca="false">IF(OR($D104="",$E104=""),"",IF(AND($D104&lt;=P$4+4,$E104&gt;=P$4),1,""))</f>
        <v/>
      </c>
      <c r="Q104" s="30" t="str">
        <f aca="false">IF(OR($D104="",$E104=""),"",IF(AND($D104&lt;=Q$4+4,$E104&gt;=Q$4),1,""))</f>
        <v/>
      </c>
      <c r="R104" s="30" t="str">
        <f aca="false">IF(OR($D104="",$E104=""),"",IF(AND($D104&lt;=R$4+4,$E104&gt;=R$4),1,""))</f>
        <v/>
      </c>
      <c r="S104" s="30" t="str">
        <f aca="false">IF(OR($D104="",$E104=""),"",IF(AND($D104&lt;=S$4+4,$E104&gt;=S$4),1,""))</f>
        <v/>
      </c>
      <c r="T104" s="30" t="str">
        <f aca="false">IF(OR($D104="",$E104=""),"",IF(AND($D104&lt;=T$4+4,$E104&gt;=T$4),1,""))</f>
        <v/>
      </c>
      <c r="U104" s="30" t="str">
        <f aca="false">IF(OR($D104="",$E104=""),"",IF(AND($D104&lt;=U$4+4,$E104&gt;=U$4),1,""))</f>
        <v/>
      </c>
      <c r="V104" s="30" t="str">
        <f aca="false">IF(OR($D104="",$E104=""),"",IF(AND($D104&lt;=V$4+4,$E104&gt;=V$4),1,""))</f>
        <v/>
      </c>
      <c r="W104" s="30" t="str">
        <f aca="false">IF(OR($D104="",$E104=""),"",IF(AND($D104&lt;=W$4+4,$E104&gt;=W$4),1,""))</f>
        <v/>
      </c>
      <c r="X104" s="30" t="str">
        <f aca="false">IF(OR($D104="",$E104=""),"",IF(AND($D104&lt;=X$4+4,$E104&gt;=X$4),1,""))</f>
        <v/>
      </c>
      <c r="Y104" s="30" t="str">
        <f aca="false">IF(OR($D104="",$E104=""),"",IF(AND($D104&lt;=Y$4+4,$E104&gt;=Y$4),1,""))</f>
        <v/>
      </c>
      <c r="Z104" s="30" t="str">
        <f aca="false">IF(OR($D104="",$E104=""),"",IF(AND($D104&lt;=Z$4+4,$E104&gt;=Z$4),1,""))</f>
        <v/>
      </c>
      <c r="AA104" s="30" t="str">
        <f aca="false">IF(OR($D104="",$E104=""),"",IF(AND($D104&lt;=AA$4+4,$E104&gt;=AA$4),1,""))</f>
        <v/>
      </c>
      <c r="AB104" s="30" t="str">
        <f aca="false">IF(OR($D104="",$E104=""),"",IF(AND($D104&lt;=AB$4+4,$E104&gt;=AB$4),1,""))</f>
        <v/>
      </c>
      <c r="AC104" s="30" t="str">
        <f aca="false">IF(OR($D104="",$E104=""),"",IF(AND($D104&lt;=AC$4+4,$E104&gt;=AC$4),1,""))</f>
        <v/>
      </c>
      <c r="AD104" s="30" t="str">
        <f aca="false">IF(OR($D104="",$E104=""),"",IF(AND($D104&lt;=AD$4+4,$E104&gt;=AD$4),1,""))</f>
        <v/>
      </c>
      <c r="AE104" s="30" t="str">
        <f aca="false">IF(OR($D104="",$E104=""),"",IF(AND($D104&lt;=AE$4+4,$E104&gt;=AE$4),1,""))</f>
        <v/>
      </c>
    </row>
    <row r="105" customFormat="false" ht="15" hidden="false" customHeight="false" outlineLevel="0" collapsed="false">
      <c r="A105" s="28" t="n">
        <v>99</v>
      </c>
      <c r="B105" s="14" t="str">
        <f aca="false">IFERROR(INDEX(Tablero!$A$5:$A$104,MATCH($A105,Tablero!$J$5:$J$104,0))&amp;"","")</f>
        <v/>
      </c>
      <c r="C105" s="14" t="str">
        <f aca="false">IFERROR(INDEX(Tablero!$B$5:$B$104,MATCH($A105,Tablero!$J$5:$J$104,0))&amp;"","")</f>
        <v/>
      </c>
      <c r="D105" s="29" t="str">
        <f aca="false">IFERROR(INDEX(Tablero!$R$5:$R$104,MATCH($A105,Tablero!$J$5:$J$104,0)),"")</f>
        <v/>
      </c>
      <c r="E105" s="29" t="str">
        <f aca="false">IFERROR(INDEX(Tablero!$S$5:$S$104,MATCH($A105,Tablero!$J$5:$J$104,0)),"")</f>
        <v/>
      </c>
      <c r="F105" s="30" t="str">
        <f aca="false">IF(OR($D105="",$E105=""),"",IF(AND($D105&lt;=F$4+4,$E105&gt;=F$4),1,""))</f>
        <v/>
      </c>
      <c r="G105" s="30" t="str">
        <f aca="false">IF(OR($D105="",$E105=""),"",IF(AND($D105&lt;=G$4+4,$E105&gt;=G$4),1,""))</f>
        <v/>
      </c>
      <c r="H105" s="30" t="str">
        <f aca="false">IF(OR($D105="",$E105=""),"",IF(AND($D105&lt;=H$4+4,$E105&gt;=H$4),1,""))</f>
        <v/>
      </c>
      <c r="I105" s="30" t="str">
        <f aca="false">IF(OR($D105="",$E105=""),"",IF(AND($D105&lt;=I$4+4,$E105&gt;=I$4),1,""))</f>
        <v/>
      </c>
      <c r="J105" s="30" t="str">
        <f aca="false">IF(OR($D105="",$E105=""),"",IF(AND($D105&lt;=J$4+4,$E105&gt;=J$4),1,""))</f>
        <v/>
      </c>
      <c r="K105" s="30" t="str">
        <f aca="false">IF(OR($D105="",$E105=""),"",IF(AND($D105&lt;=K$4+4,$E105&gt;=K$4),1,""))</f>
        <v/>
      </c>
      <c r="L105" s="30" t="str">
        <f aca="false">IF(OR($D105="",$E105=""),"",IF(AND($D105&lt;=L$4+4,$E105&gt;=L$4),1,""))</f>
        <v/>
      </c>
      <c r="M105" s="30" t="str">
        <f aca="false">IF(OR($D105="",$E105=""),"",IF(AND($D105&lt;=M$4+4,$E105&gt;=M$4),1,""))</f>
        <v/>
      </c>
      <c r="N105" s="30" t="str">
        <f aca="false">IF(OR($D105="",$E105=""),"",IF(AND($D105&lt;=N$4+4,$E105&gt;=N$4),1,""))</f>
        <v/>
      </c>
      <c r="O105" s="30" t="str">
        <f aca="false">IF(OR($D105="",$E105=""),"",IF(AND($D105&lt;=O$4+4,$E105&gt;=O$4),1,""))</f>
        <v/>
      </c>
      <c r="P105" s="30" t="str">
        <f aca="false">IF(OR($D105="",$E105=""),"",IF(AND($D105&lt;=P$4+4,$E105&gt;=P$4),1,""))</f>
        <v/>
      </c>
      <c r="Q105" s="30" t="str">
        <f aca="false">IF(OR($D105="",$E105=""),"",IF(AND($D105&lt;=Q$4+4,$E105&gt;=Q$4),1,""))</f>
        <v/>
      </c>
      <c r="R105" s="30" t="str">
        <f aca="false">IF(OR($D105="",$E105=""),"",IF(AND($D105&lt;=R$4+4,$E105&gt;=R$4),1,""))</f>
        <v/>
      </c>
      <c r="S105" s="30" t="str">
        <f aca="false">IF(OR($D105="",$E105=""),"",IF(AND($D105&lt;=S$4+4,$E105&gt;=S$4),1,""))</f>
        <v/>
      </c>
      <c r="T105" s="30" t="str">
        <f aca="false">IF(OR($D105="",$E105=""),"",IF(AND($D105&lt;=T$4+4,$E105&gt;=T$4),1,""))</f>
        <v/>
      </c>
      <c r="U105" s="30" t="str">
        <f aca="false">IF(OR($D105="",$E105=""),"",IF(AND($D105&lt;=U$4+4,$E105&gt;=U$4),1,""))</f>
        <v/>
      </c>
      <c r="V105" s="30" t="str">
        <f aca="false">IF(OR($D105="",$E105=""),"",IF(AND($D105&lt;=V$4+4,$E105&gt;=V$4),1,""))</f>
        <v/>
      </c>
      <c r="W105" s="30" t="str">
        <f aca="false">IF(OR($D105="",$E105=""),"",IF(AND($D105&lt;=W$4+4,$E105&gt;=W$4),1,""))</f>
        <v/>
      </c>
      <c r="X105" s="30" t="str">
        <f aca="false">IF(OR($D105="",$E105=""),"",IF(AND($D105&lt;=X$4+4,$E105&gt;=X$4),1,""))</f>
        <v/>
      </c>
      <c r="Y105" s="30" t="str">
        <f aca="false">IF(OR($D105="",$E105=""),"",IF(AND($D105&lt;=Y$4+4,$E105&gt;=Y$4),1,""))</f>
        <v/>
      </c>
      <c r="Z105" s="30" t="str">
        <f aca="false">IF(OR($D105="",$E105=""),"",IF(AND($D105&lt;=Z$4+4,$E105&gt;=Z$4),1,""))</f>
        <v/>
      </c>
      <c r="AA105" s="30" t="str">
        <f aca="false">IF(OR($D105="",$E105=""),"",IF(AND($D105&lt;=AA$4+4,$E105&gt;=AA$4),1,""))</f>
        <v/>
      </c>
      <c r="AB105" s="30" t="str">
        <f aca="false">IF(OR($D105="",$E105=""),"",IF(AND($D105&lt;=AB$4+4,$E105&gt;=AB$4),1,""))</f>
        <v/>
      </c>
      <c r="AC105" s="30" t="str">
        <f aca="false">IF(OR($D105="",$E105=""),"",IF(AND($D105&lt;=AC$4+4,$E105&gt;=AC$4),1,""))</f>
        <v/>
      </c>
      <c r="AD105" s="30" t="str">
        <f aca="false">IF(OR($D105="",$E105=""),"",IF(AND($D105&lt;=AD$4+4,$E105&gt;=AD$4),1,""))</f>
        <v/>
      </c>
      <c r="AE105" s="30" t="str">
        <f aca="false">IF(OR($D105="",$E105=""),"",IF(AND($D105&lt;=AE$4+4,$E105&gt;=AE$4),1,""))</f>
        <v/>
      </c>
    </row>
    <row r="106" customFormat="false" ht="15" hidden="false" customHeight="false" outlineLevel="0" collapsed="false">
      <c r="A106" s="28" t="n">
        <v>100</v>
      </c>
      <c r="B106" s="14" t="str">
        <f aca="false">IFERROR(INDEX(Tablero!$A$5:$A$104,MATCH($A106,Tablero!$J$5:$J$104,0))&amp;"","")</f>
        <v/>
      </c>
      <c r="C106" s="14" t="str">
        <f aca="false">IFERROR(INDEX(Tablero!$B$5:$B$104,MATCH($A106,Tablero!$J$5:$J$104,0))&amp;"","")</f>
        <v/>
      </c>
      <c r="D106" s="29" t="str">
        <f aca="false">IFERROR(INDEX(Tablero!$R$5:$R$104,MATCH($A106,Tablero!$J$5:$J$104,0)),"")</f>
        <v/>
      </c>
      <c r="E106" s="29" t="str">
        <f aca="false">IFERROR(INDEX(Tablero!$S$5:$S$104,MATCH($A106,Tablero!$J$5:$J$104,0)),"")</f>
        <v/>
      </c>
      <c r="F106" s="30" t="str">
        <f aca="false">IF(OR($D106="",$E106=""),"",IF(AND($D106&lt;=F$4+4,$E106&gt;=F$4),1,""))</f>
        <v/>
      </c>
      <c r="G106" s="30" t="str">
        <f aca="false">IF(OR($D106="",$E106=""),"",IF(AND($D106&lt;=G$4+4,$E106&gt;=G$4),1,""))</f>
        <v/>
      </c>
      <c r="H106" s="30" t="str">
        <f aca="false">IF(OR($D106="",$E106=""),"",IF(AND($D106&lt;=H$4+4,$E106&gt;=H$4),1,""))</f>
        <v/>
      </c>
      <c r="I106" s="30" t="str">
        <f aca="false">IF(OR($D106="",$E106=""),"",IF(AND($D106&lt;=I$4+4,$E106&gt;=I$4),1,""))</f>
        <v/>
      </c>
      <c r="J106" s="30" t="str">
        <f aca="false">IF(OR($D106="",$E106=""),"",IF(AND($D106&lt;=J$4+4,$E106&gt;=J$4),1,""))</f>
        <v/>
      </c>
      <c r="K106" s="30" t="str">
        <f aca="false">IF(OR($D106="",$E106=""),"",IF(AND($D106&lt;=K$4+4,$E106&gt;=K$4),1,""))</f>
        <v/>
      </c>
      <c r="L106" s="30" t="str">
        <f aca="false">IF(OR($D106="",$E106=""),"",IF(AND($D106&lt;=L$4+4,$E106&gt;=L$4),1,""))</f>
        <v/>
      </c>
      <c r="M106" s="30" t="str">
        <f aca="false">IF(OR($D106="",$E106=""),"",IF(AND($D106&lt;=M$4+4,$E106&gt;=M$4),1,""))</f>
        <v/>
      </c>
      <c r="N106" s="30" t="str">
        <f aca="false">IF(OR($D106="",$E106=""),"",IF(AND($D106&lt;=N$4+4,$E106&gt;=N$4),1,""))</f>
        <v/>
      </c>
      <c r="O106" s="30" t="str">
        <f aca="false">IF(OR($D106="",$E106=""),"",IF(AND($D106&lt;=O$4+4,$E106&gt;=O$4),1,""))</f>
        <v/>
      </c>
      <c r="P106" s="30" t="str">
        <f aca="false">IF(OR($D106="",$E106=""),"",IF(AND($D106&lt;=P$4+4,$E106&gt;=P$4),1,""))</f>
        <v/>
      </c>
      <c r="Q106" s="30" t="str">
        <f aca="false">IF(OR($D106="",$E106=""),"",IF(AND($D106&lt;=Q$4+4,$E106&gt;=Q$4),1,""))</f>
        <v/>
      </c>
      <c r="R106" s="30" t="str">
        <f aca="false">IF(OR($D106="",$E106=""),"",IF(AND($D106&lt;=R$4+4,$E106&gt;=R$4),1,""))</f>
        <v/>
      </c>
      <c r="S106" s="30" t="str">
        <f aca="false">IF(OR($D106="",$E106=""),"",IF(AND($D106&lt;=S$4+4,$E106&gt;=S$4),1,""))</f>
        <v/>
      </c>
      <c r="T106" s="30" t="str">
        <f aca="false">IF(OR($D106="",$E106=""),"",IF(AND($D106&lt;=T$4+4,$E106&gt;=T$4),1,""))</f>
        <v/>
      </c>
      <c r="U106" s="30" t="str">
        <f aca="false">IF(OR($D106="",$E106=""),"",IF(AND($D106&lt;=U$4+4,$E106&gt;=U$4),1,""))</f>
        <v/>
      </c>
      <c r="V106" s="30" t="str">
        <f aca="false">IF(OR($D106="",$E106=""),"",IF(AND($D106&lt;=V$4+4,$E106&gt;=V$4),1,""))</f>
        <v/>
      </c>
      <c r="W106" s="30" t="str">
        <f aca="false">IF(OR($D106="",$E106=""),"",IF(AND($D106&lt;=W$4+4,$E106&gt;=W$4),1,""))</f>
        <v/>
      </c>
      <c r="X106" s="30" t="str">
        <f aca="false">IF(OR($D106="",$E106=""),"",IF(AND($D106&lt;=X$4+4,$E106&gt;=X$4),1,""))</f>
        <v/>
      </c>
      <c r="Y106" s="30" t="str">
        <f aca="false">IF(OR($D106="",$E106=""),"",IF(AND($D106&lt;=Y$4+4,$E106&gt;=Y$4),1,""))</f>
        <v/>
      </c>
      <c r="Z106" s="30" t="str">
        <f aca="false">IF(OR($D106="",$E106=""),"",IF(AND($D106&lt;=Z$4+4,$E106&gt;=Z$4),1,""))</f>
        <v/>
      </c>
      <c r="AA106" s="30" t="str">
        <f aca="false">IF(OR($D106="",$E106=""),"",IF(AND($D106&lt;=AA$4+4,$E106&gt;=AA$4),1,""))</f>
        <v/>
      </c>
      <c r="AB106" s="30" t="str">
        <f aca="false">IF(OR($D106="",$E106=""),"",IF(AND($D106&lt;=AB$4+4,$E106&gt;=AB$4),1,""))</f>
        <v/>
      </c>
      <c r="AC106" s="30" t="str">
        <f aca="false">IF(OR($D106="",$E106=""),"",IF(AND($D106&lt;=AC$4+4,$E106&gt;=AC$4),1,""))</f>
        <v/>
      </c>
      <c r="AD106" s="30" t="str">
        <f aca="false">IF(OR($D106="",$E106=""),"",IF(AND($D106&lt;=AD$4+4,$E106&gt;=AD$4),1,""))</f>
        <v/>
      </c>
      <c r="AE106" s="30" t="str">
        <f aca="false">IF(OR($D106="",$E106=""),"",IF(AND($D106&lt;=AE$4+4,$E106&gt;=AE$4),1,""))</f>
        <v/>
      </c>
    </row>
  </sheetData>
  <conditionalFormatting sqref="F7:AE106">
    <cfRule type="cellIs" priority="2" operator="equal" aboveAverage="0" equalAverage="0" bottom="0" percent="0" rank="0" text="" dxfId="12">
      <formula>1</formula>
    </cfRule>
  </conditionalFormatting>
  <conditionalFormatting sqref="F6:AE6">
    <cfRule type="cellIs" priority="3" operator="lessThan" aboveAverage="0" equalAverage="0" bottom="0" percent="0" rank="0" text="" dxfId="9">
      <formula>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4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2" min="2" style="0" width="16"/>
  </cols>
  <sheetData>
    <row r="1" customFormat="false" ht="19.7" hidden="false" customHeight="false" outlineLevel="0" collapsed="false">
      <c r="A1" s="1" t="s">
        <v>132</v>
      </c>
    </row>
    <row r="4" customFormat="false" ht="15" hidden="false" customHeight="false" outlineLevel="0" collapsed="false">
      <c r="A4" s="7" t="s">
        <v>133</v>
      </c>
      <c r="B4" s="8"/>
    </row>
    <row r="5" customFormat="false" ht="15" hidden="false" customHeight="false" outlineLevel="0" collapsed="false">
      <c r="A5" s="10" t="s">
        <v>134</v>
      </c>
      <c r="B5" s="27" t="n">
        <f aca="false">COUNTA(Tablero!$A$5:$A$104)</f>
        <v>1</v>
      </c>
    </row>
    <row r="6" customFormat="false" ht="15" hidden="false" customHeight="false" outlineLevel="0" collapsed="false">
      <c r="A6" s="10" t="s">
        <v>135</v>
      </c>
      <c r="B6" s="27" t="n">
        <f aca="false">COUNTIF(Tablero!$L$5:$L$104,"Cerrado")</f>
        <v>0</v>
      </c>
    </row>
    <row r="7" customFormat="false" ht="15" hidden="false" customHeight="false" outlineLevel="0" collapsed="false">
      <c r="A7" s="10" t="s">
        <v>136</v>
      </c>
      <c r="B7" s="27" t="n">
        <f aca="false">B5-B6</f>
        <v>1</v>
      </c>
    </row>
    <row r="8" customFormat="false" ht="15" hidden="false" customHeight="false" outlineLevel="0" collapsed="false">
      <c r="A8" s="10" t="s">
        <v>137</v>
      </c>
      <c r="B8" s="27" t="n">
        <f aca="false">SUM(B15:B19)</f>
        <v>0</v>
      </c>
    </row>
    <row r="9" customFormat="false" ht="15" hidden="false" customHeight="false" outlineLevel="0" collapsed="false">
      <c r="A9" s="10" t="s">
        <v>138</v>
      </c>
      <c r="B9" s="27" t="n">
        <f aca="false">Parámetros!$B$16</f>
        <v>3</v>
      </c>
    </row>
    <row r="10" customFormat="false" ht="15" hidden="false" customHeight="false" outlineLevel="0" collapsed="false">
      <c r="A10" s="10" t="s">
        <v>139</v>
      </c>
      <c r="B10" s="31" t="str">
        <f aca="false">IF(B8&gt;B9,"Sobre el límite","Dentro del límite")</f>
        <v>Dentro del límite</v>
      </c>
    </row>
    <row r="12" customFormat="false" ht="15" hidden="false" customHeight="false" outlineLevel="0" collapsed="false">
      <c r="A12" s="7" t="s">
        <v>140</v>
      </c>
      <c r="B12" s="8"/>
    </row>
    <row r="13" customFormat="false" ht="15" hidden="false" customHeight="false" outlineLevel="0" collapsed="false">
      <c r="A13" s="9" t="s">
        <v>34</v>
      </c>
      <c r="B13" s="9" t="s">
        <v>141</v>
      </c>
    </row>
    <row r="14" customFormat="false" ht="15" hidden="false" customHeight="false" outlineLevel="0" collapsed="false">
      <c r="A14" s="10" t="str">
        <f aca="false">Parámetros!K6</f>
        <v>Backlog</v>
      </c>
      <c r="B14" s="23" t="n">
        <f aca="false">COUNTIF(Tablero!$L$5:$L$104,A14)</f>
        <v>1</v>
      </c>
    </row>
    <row r="15" customFormat="false" ht="15" hidden="false" customHeight="false" outlineLevel="0" collapsed="false">
      <c r="A15" s="10" t="str">
        <f aca="false">Parámetros!K7</f>
        <v>Triaje</v>
      </c>
      <c r="B15" s="23" t="n">
        <f aca="false">COUNTIF(Tablero!$L$5:$L$104,A15)</f>
        <v>0</v>
      </c>
    </row>
    <row r="16" customFormat="false" ht="15" hidden="false" customHeight="false" outlineLevel="0" collapsed="false">
      <c r="A16" s="10" t="str">
        <f aca="false">Parámetros!K8</f>
        <v>DEF: elaboración</v>
      </c>
      <c r="B16" s="23" t="n">
        <f aca="false">COUNTIF(Tablero!$L$5:$L$104,A16)</f>
        <v>0</v>
      </c>
    </row>
    <row r="17" customFormat="false" ht="15" hidden="false" customHeight="false" outlineLevel="0" collapsed="false">
      <c r="A17" s="10" t="str">
        <f aca="false">Parámetros!K9</f>
        <v>DEF: validación</v>
      </c>
      <c r="B17" s="23" t="n">
        <f aca="false">COUNTIF(Tablero!$L$5:$L$104,A17)</f>
        <v>0</v>
      </c>
    </row>
    <row r="18" customFormat="false" ht="15" hidden="false" customHeight="false" outlineLevel="0" collapsed="false">
      <c r="A18" s="10" t="str">
        <f aca="false">Parámetros!K10</f>
        <v>Historias y pruebas</v>
      </c>
      <c r="B18" s="23" t="n">
        <f aca="false">COUNTIF(Tablero!$L$5:$L$104,A18)</f>
        <v>0</v>
      </c>
    </row>
    <row r="19" customFormat="false" ht="15" hidden="false" customHeight="false" outlineLevel="0" collapsed="false">
      <c r="A19" s="10" t="str">
        <f aca="false">Parámetros!K11</f>
        <v>Refinamiento</v>
      </c>
      <c r="B19" s="23" t="n">
        <f aca="false">COUNTIF(Tablero!$L$5:$L$104,A19)</f>
        <v>0</v>
      </c>
    </row>
    <row r="20" customFormat="false" ht="15" hidden="false" customHeight="false" outlineLevel="0" collapsed="false">
      <c r="A20" s="10" t="str">
        <f aca="false">Parámetros!K12</f>
        <v>Desarrollo</v>
      </c>
      <c r="B20" s="23" t="n">
        <f aca="false">COUNTIF(Tablero!$L$5:$L$104,A20)</f>
        <v>0</v>
      </c>
    </row>
    <row r="21" customFormat="false" ht="15" hidden="false" customHeight="false" outlineLevel="0" collapsed="false">
      <c r="A21" s="10" t="str">
        <f aca="false">Parámetros!K13</f>
        <v>Pruebas QA/UAT</v>
      </c>
      <c r="B21" s="23" t="n">
        <f aca="false">COUNTIF(Tablero!$L$5:$L$104,A21)</f>
        <v>0</v>
      </c>
    </row>
    <row r="22" customFormat="false" ht="15" hidden="false" customHeight="false" outlineLevel="0" collapsed="false">
      <c r="A22" s="10" t="str">
        <f aca="false">Parámetros!K14</f>
        <v>Paso a producción</v>
      </c>
      <c r="B22" s="23" t="n">
        <f aca="false">COUNTIF(Tablero!$L$5:$L$104,A22)</f>
        <v>0</v>
      </c>
    </row>
    <row r="23" customFormat="false" ht="15" hidden="false" customHeight="false" outlineLevel="0" collapsed="false">
      <c r="A23" s="10" t="str">
        <f aca="false">Parámetros!K15</f>
        <v>Cerrado</v>
      </c>
      <c r="B23" s="23" t="n">
        <f aca="false">COUNTIF(Tablero!$L$5:$L$104,A23)</f>
        <v>0</v>
      </c>
    </row>
    <row r="26" customFormat="false" ht="15" hidden="false" customHeight="false" outlineLevel="0" collapsed="false">
      <c r="A26" s="7" t="s">
        <v>142</v>
      </c>
      <c r="B26" s="8"/>
    </row>
    <row r="27" customFormat="false" ht="15" hidden="false" customHeight="false" outlineLevel="0" collapsed="false">
      <c r="A27" s="9" t="s">
        <v>36</v>
      </c>
      <c r="B27" s="9" t="s">
        <v>141</v>
      </c>
    </row>
    <row r="28" customFormat="false" ht="15" hidden="false" customHeight="false" outlineLevel="0" collapsed="false">
      <c r="A28" s="10" t="str">
        <f aca="false">Parámetros!M6</f>
        <v>En tiempo</v>
      </c>
      <c r="B28" s="23" t="n">
        <f aca="false">COUNTIF(Tablero!$V$5:$V$104,A28)</f>
        <v>1</v>
      </c>
    </row>
    <row r="29" customFormat="false" ht="15" hidden="false" customHeight="false" outlineLevel="0" collapsed="false">
      <c r="A29" s="10" t="str">
        <f aca="false">Parámetros!M7</f>
        <v>En riesgo</v>
      </c>
      <c r="B29" s="23" t="n">
        <f aca="false">COUNTIF(Tablero!$V$5:$V$104,A29)</f>
        <v>0</v>
      </c>
    </row>
    <row r="30" customFormat="false" ht="15" hidden="false" customHeight="false" outlineLevel="0" collapsed="false">
      <c r="A30" s="10" t="str">
        <f aca="false">Parámetros!M8</f>
        <v>Bloqueado</v>
      </c>
      <c r="B30" s="23" t="n">
        <f aca="false">COUNTIF(Tablero!$V$5:$V$104,A30)</f>
        <v>0</v>
      </c>
    </row>
    <row r="31" customFormat="false" ht="15" hidden="false" customHeight="false" outlineLevel="0" collapsed="false">
      <c r="A31" s="10" t="str">
        <f aca="false">Parámetros!M9</f>
        <v>Completado</v>
      </c>
      <c r="B31" s="23" t="n">
        <f aca="false">COUNTIF(Tablero!$V$5:$V$104,A31)</f>
        <v>0</v>
      </c>
    </row>
    <row r="33" customFormat="false" ht="15" hidden="false" customHeight="false" outlineLevel="0" collapsed="false">
      <c r="A33" s="7" t="s">
        <v>143</v>
      </c>
      <c r="B33" s="8"/>
    </row>
    <row r="34" customFormat="false" ht="15" hidden="false" customHeight="false" outlineLevel="0" collapsed="false">
      <c r="A34" s="10" t="s">
        <v>144</v>
      </c>
      <c r="B34" s="32" t="n">
        <f aca="false">SUMIFS(Tablero!$N$5:$N$104,Tablero!$L$5:$L$104,"&lt;&gt;Cerrado")</f>
        <v>18</v>
      </c>
    </row>
    <row r="35" customFormat="false" ht="15" hidden="false" customHeight="false" outlineLevel="0" collapsed="false">
      <c r="A35" s="10" t="s">
        <v>145</v>
      </c>
      <c r="B35" s="32" t="n">
        <f aca="false">IF(B34=0,0,B34/Parámetros!$B$6*(1+Parámetros!$B$17))</f>
        <v>1.08</v>
      </c>
    </row>
    <row r="36" customFormat="false" ht="15" hidden="false" customHeight="false" outlineLevel="0" collapsed="false">
      <c r="A36" s="10" t="s">
        <v>146</v>
      </c>
      <c r="B36" s="33" t="n">
        <f aca="false">IF(COUNT(Tablero!$S$5:$S$104)=0,"",MAX(Tablero!$S$5:$S$104))</f>
        <v>46316</v>
      </c>
    </row>
    <row r="37" customFormat="false" ht="15" hidden="false" customHeight="false" outlineLevel="0" collapsed="false">
      <c r="A37" s="10" t="s">
        <v>147</v>
      </c>
      <c r="B37" s="32" t="n">
        <f aca="false">SUMIFS(Tablero!$N$5:$N$104,Tablero!$L$5:$L$104,"Cerrado")</f>
        <v>0</v>
      </c>
    </row>
    <row r="38" customFormat="false" ht="15" hidden="false" customHeight="false" outlineLevel="0" collapsed="false">
      <c r="A38" s="10" t="s">
        <v>148</v>
      </c>
      <c r="B38" s="32" t="n">
        <f aca="false">SUMIFS(Tablero!$U$5:$U$104,Tablero!$L$5:$L$104,"Cerrado")</f>
        <v>0</v>
      </c>
    </row>
    <row r="39" customFormat="false" ht="15" hidden="false" customHeight="false" outlineLevel="0" collapsed="false">
      <c r="A39" s="10" t="s">
        <v>149</v>
      </c>
      <c r="B39" s="34" t="str">
        <f aca="false">IF(OR(B37=0,B38=0),"",(B38-B37)/B37)</f>
        <v/>
      </c>
    </row>
    <row r="40" customFormat="false" ht="15" hidden="false" customHeight="false" outlineLevel="0" collapsed="false">
      <c r="A40" s="35" t="s">
        <v>150</v>
      </c>
    </row>
  </sheetData>
  <conditionalFormatting sqref="B10">
    <cfRule type="cellIs" priority="2" operator="equal" aboveAverage="0" equalAverage="0" bottom="0" percent="0" rank="0" text="" dxfId="9">
      <formula>"Sobre el límite"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2026-09-28T02:22:38Z</dcterms:created>
  <dc:creator>openpyxl</dc:creator>
  <dc:description/>
  <dc:language>en-US</dc:language>
  <cp:lastModifiedBy/>
  <dcterms:modified xsi:type="dcterms:W3CDTF">2026-09-28T02:22:40Z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